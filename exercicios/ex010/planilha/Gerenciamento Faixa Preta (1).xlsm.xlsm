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gerenciamento R$" sheetId="1" r:id="rId5"/>
    <sheet state="visible" name="gerenciamento ($)" sheetId="2" r:id="rId6"/>
    <sheet state="visible" name="Traders" sheetId="3" r:id="rId7"/>
  </sheets>
  <definedNames/>
  <calcPr/>
  <extLst>
    <ext uri="GoogleSheetsCustomDataVersion1">
      <go:sheetsCustomData xmlns:go="http://customooxmlschemas.google.com/" r:id="rId8" roundtripDataSignature="AMtx7mgckmLZCBeilwi0klrWo/ixWgvb4g=="/>
    </ext>
  </extLst>
</workbook>
</file>

<file path=xl/sharedStrings.xml><?xml version="1.0" encoding="utf-8"?>
<sst xmlns="http://schemas.openxmlformats.org/spreadsheetml/2006/main" count="944" uniqueCount="94">
  <si>
    <t>Configurações</t>
  </si>
  <si>
    <t>2.</t>
  </si>
  <si>
    <t>Banca Inicial:</t>
  </si>
  <si>
    <t>3.</t>
  </si>
  <si>
    <t>Meta de Ganho:</t>
  </si>
  <si>
    <t>4.</t>
  </si>
  <si>
    <t>Lucro Diário:</t>
  </si>
  <si>
    <t>Projeção:</t>
  </si>
  <si>
    <r>
      <rPr>
        <rFont val="Calibri"/>
        <color rgb="FFB4C6E7"/>
        <sz val="12.0"/>
      </rPr>
      <t xml:space="preserve">dias para atingir a sua </t>
    </r>
    <r>
      <rPr>
        <rFont val="Calibri"/>
        <b/>
        <color rgb="FFB4C6E7"/>
        <sz val="12.0"/>
      </rPr>
      <t>Meta de Ganho</t>
    </r>
  </si>
  <si>
    <r>
      <rPr>
        <rFont val="Calibri"/>
        <color rgb="FFFFFF00"/>
        <sz val="12.0"/>
      </rPr>
      <t xml:space="preserve">dias para atingir a sua </t>
    </r>
    <r>
      <rPr>
        <rFont val="Calibri"/>
        <b/>
        <color rgb="FFFFFF00"/>
        <sz val="12.0"/>
      </rPr>
      <t>Meta de Ganho</t>
    </r>
  </si>
  <si>
    <t>Dia</t>
  </si>
  <si>
    <t>Meta do dia</t>
  </si>
  <si>
    <t>Sugestão de Entrada</t>
  </si>
  <si>
    <t>Resultados do Dia</t>
  </si>
  <si>
    <t>PLANEJAMENTO</t>
  </si>
  <si>
    <t>Objetivo Financeiro</t>
  </si>
  <si>
    <t>Terminar com</t>
  </si>
  <si>
    <t>Lucro de</t>
  </si>
  <si>
    <t>Entrada(s)</t>
  </si>
  <si>
    <t>Em Caixa</t>
  </si>
  <si>
    <t>Lucro em R$</t>
  </si>
  <si>
    <t>Diferença</t>
  </si>
  <si>
    <t>Lucro em %</t>
  </si>
  <si>
    <t>1º Entrada</t>
  </si>
  <si>
    <t>2º Entrada</t>
  </si>
  <si>
    <t>3º Entrada</t>
  </si>
  <si>
    <t>Faltam</t>
  </si>
  <si>
    <t>Dia(s)</t>
  </si>
  <si>
    <t>&gt;</t>
  </si>
  <si>
    <t>Total de Lucro</t>
  </si>
  <si>
    <t>em</t>
  </si>
  <si>
    <t>Média de Lucro</t>
  </si>
  <si>
    <r>
      <rPr>
        <rFont val="Calibri"/>
        <color rgb="FFB4C6E7"/>
        <sz val="12.0"/>
      </rPr>
      <t xml:space="preserve">dias para atingir a sua </t>
    </r>
    <r>
      <rPr>
        <rFont val="Calibri"/>
        <b/>
        <color rgb="FFB4C6E7"/>
        <sz val="12.0"/>
      </rPr>
      <t>Meta de Ganho</t>
    </r>
  </si>
  <si>
    <r>
      <rPr>
        <rFont val="Calibri"/>
        <color rgb="FFFFFF00"/>
        <sz val="12.0"/>
      </rPr>
      <t xml:space="preserve">dias para atingir a sua </t>
    </r>
    <r>
      <rPr>
        <rFont val="Calibri"/>
        <b/>
        <color rgb="FFFFFF00"/>
        <sz val="12.0"/>
      </rPr>
      <t>Meta de Ganho</t>
    </r>
  </si>
  <si>
    <t>Faixas</t>
  </si>
  <si>
    <r>
      <rPr>
        <rFont val="Calibri"/>
        <b/>
        <color rgb="FFFFFF00"/>
        <sz val="11.0"/>
      </rPr>
      <t>Mês:</t>
    </r>
    <r>
      <rPr>
        <rFont val="Calibri"/>
        <color rgb="FFFFFF00"/>
        <sz val="11.0"/>
      </rPr>
      <t xml:space="preserve"> Julho/2020 - </t>
    </r>
    <r>
      <rPr>
        <rFont val="Calibri"/>
        <b/>
        <color rgb="FFFFFF00"/>
        <sz val="11.0"/>
      </rPr>
      <t>Dias</t>
    </r>
  </si>
  <si>
    <t>Paridade</t>
  </si>
  <si>
    <t>Adriano</t>
  </si>
  <si>
    <t>AUD/USD</t>
  </si>
  <si>
    <t>x</t>
  </si>
  <si>
    <t>Ronaldo</t>
  </si>
  <si>
    <t>EUR/USD</t>
  </si>
  <si>
    <t>Camila</t>
  </si>
  <si>
    <t>CHF/USD</t>
  </si>
  <si>
    <t>Rubens</t>
  </si>
  <si>
    <t>EUR/GBP</t>
  </si>
  <si>
    <t>Leonardo Matias</t>
  </si>
  <si>
    <t>GBP/USD</t>
  </si>
  <si>
    <t>Victor</t>
  </si>
  <si>
    <t>USD/CAD</t>
  </si>
  <si>
    <t>Hanna</t>
  </si>
  <si>
    <t>EUR/CAD</t>
  </si>
  <si>
    <t>Jovane</t>
  </si>
  <si>
    <t>GBP/CHF</t>
  </si>
  <si>
    <t>Samuel</t>
  </si>
  <si>
    <t>GBP/CAD</t>
  </si>
  <si>
    <t>Rayssa</t>
  </si>
  <si>
    <t>GBP/AUD</t>
  </si>
  <si>
    <t>Gleyson</t>
  </si>
  <si>
    <t>EUR/AUD</t>
  </si>
  <si>
    <t>Jhenerson</t>
  </si>
  <si>
    <t>USD/JPY</t>
  </si>
  <si>
    <t>Rodrigo Gomes Mendes</t>
  </si>
  <si>
    <t>EUR/JPY</t>
  </si>
  <si>
    <t>Luiza</t>
  </si>
  <si>
    <t>NZD/USD</t>
  </si>
  <si>
    <t>Diegeo</t>
  </si>
  <si>
    <t>GBP/JPY</t>
  </si>
  <si>
    <t>Thales</t>
  </si>
  <si>
    <t>USD/CHF</t>
  </si>
  <si>
    <t>Ivan</t>
  </si>
  <si>
    <t>EUR/NZD</t>
  </si>
  <si>
    <t xml:space="preserve">Thiago Danilo da Silva </t>
  </si>
  <si>
    <t>AUD/JPY</t>
  </si>
  <si>
    <t>Cassiano</t>
  </si>
  <si>
    <t>CAD/CHF</t>
  </si>
  <si>
    <t>Thamires</t>
  </si>
  <si>
    <t>EUR/CHF</t>
  </si>
  <si>
    <t>Thiago Danilo</t>
  </si>
  <si>
    <t>AUD/NZD</t>
  </si>
  <si>
    <t>João</t>
  </si>
  <si>
    <t>AUD/CAD</t>
  </si>
  <si>
    <t>Charles</t>
  </si>
  <si>
    <t>GBP/NZD</t>
  </si>
  <si>
    <t>Gabriel</t>
  </si>
  <si>
    <t>Bruno</t>
  </si>
  <si>
    <t>Helderton</t>
  </si>
  <si>
    <t>André</t>
  </si>
  <si>
    <t>Zoyka</t>
  </si>
  <si>
    <t>José Renato</t>
  </si>
  <si>
    <t>Sérgio</t>
  </si>
  <si>
    <t>Fábio</t>
  </si>
  <si>
    <t>Robson</t>
  </si>
  <si>
    <t>Fran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</si>
</sst>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0">
    <numFmt numFmtId="164" formatCode="&quot;R$&quot;#,##0.00"/>
    <numFmt numFmtId="165" formatCode="_-&quot;R$&quot;\ * #,##0.00_-;\-&quot;R$&quot;\ * #,##0.00_-;_-&quot;R$&quot;\ * &quot;-&quot;_-;_-@"/>
    <numFmt numFmtId="166" formatCode="_-[$€-2]\ * #,##0.00_-;\-[$€-2]\ * #,##0.00_-;_-[$€-2]\ * &quot;-&quot;??_-;_-@"/>
    <numFmt numFmtId="167" formatCode="&quot;R$&quot;\ #,##0;[Red]\-&quot;R$&quot;\ #,##0"/>
    <numFmt numFmtId="168" formatCode="_-[$$-F0000]* #,##0.00_ ;_-[$$-F0000]* \-#,##0.00\ ;_-[$$-F0000]* &quot;-&quot;??_ ;_-@_ "/>
    <numFmt numFmtId="169" formatCode="_-&quot;R$&quot;\ * #,##0.00_-;\-&quot;R$&quot;\ * #,##0.00_-;_-&quot;R$&quot;\ * &quot;-&quot;??_-;_-@"/>
    <numFmt numFmtId="170" formatCode="&quot;R$&quot;\ #,##0.00;\-&quot;R$&quot;\ #,##0.00"/>
    <numFmt numFmtId="171" formatCode="_-\$\ * #,##0.00_-;\-\$\ * #,##0.00_-;_-\$\ * &quot;-&quot;_-;_-@"/>
    <numFmt numFmtId="172" formatCode="_-\$\ * #,##0.00_-;\-&quot;R$&quot;\ * #,##0.00_-;_-\$\ * &quot;-&quot;??_-;_-@"/>
    <numFmt numFmtId="173" formatCode="d/m"/>
  </numFmts>
  <fonts count="29">
    <font>
      <sz val="11.0"/>
      <color rgb="FF000000"/>
      <name val="Arial"/>
      <scheme val="minor"/>
    </font>
    <font>
      <sz val="10.0"/>
      <color theme="1"/>
      <name val="Calibri"/>
    </font>
    <font>
      <b/>
      <sz val="11.0"/>
      <color theme="1"/>
      <name val="Calibri"/>
    </font>
    <font>
      <sz val="11.0"/>
      <color theme="1"/>
      <name val="Calibri"/>
    </font>
    <font>
      <sz val="11.0"/>
      <color rgb="FF142340"/>
      <name val="Calibri"/>
    </font>
    <font>
      <sz val="9.0"/>
      <color theme="1"/>
      <name val="Calibri"/>
    </font>
    <font>
      <b/>
      <sz val="14.0"/>
      <color theme="1"/>
      <name val="Calibri"/>
    </font>
    <font>
      <sz val="14.0"/>
      <color theme="1"/>
      <name val="Calibri"/>
    </font>
    <font>
      <b/>
      <sz val="14.0"/>
      <color rgb="FFB4C6E7"/>
      <name val="Calibri"/>
    </font>
    <font>
      <sz val="12.0"/>
      <color rgb="FFB4C6E7"/>
      <name val="Calibri"/>
    </font>
    <font>
      <sz val="11.0"/>
      <color rgb="FFB4C6E7"/>
      <name val="Calibri"/>
    </font>
    <font>
      <sz val="12.0"/>
      <color rgb="FFFFFF00"/>
      <name val="Calibri"/>
    </font>
    <font/>
    <font>
      <u/>
      <sz val="11.0"/>
      <color theme="1"/>
      <name val="Calibri"/>
    </font>
    <font>
      <sz val="9.0"/>
      <color rgb="FFFFFF00"/>
      <name val="Calibri"/>
    </font>
    <font>
      <b/>
      <sz val="11.0"/>
      <color rgb="FF142340"/>
      <name val="Calibri"/>
    </font>
    <font>
      <b/>
      <sz val="9.0"/>
      <color rgb="FF142340"/>
      <name val="Calibri"/>
    </font>
    <font>
      <b/>
      <u/>
      <sz val="11.0"/>
      <color rgb="FF142340"/>
      <name val="Calibri"/>
    </font>
    <font>
      <b/>
      <sz val="9.0"/>
      <color theme="1"/>
      <name val="Calibri"/>
    </font>
    <font>
      <b/>
      <sz val="10.0"/>
      <color theme="1"/>
      <name val="Calibri"/>
    </font>
    <font>
      <sz val="10.0"/>
      <color rgb="FF142340"/>
      <name val="Calibri"/>
    </font>
    <font>
      <b/>
      <sz val="10.0"/>
      <color rgb="FF142340"/>
      <name val="Calibri"/>
    </font>
    <font>
      <b/>
      <sz val="11.0"/>
      <color rgb="FFB4C6E7"/>
      <name val="Calibri"/>
    </font>
    <font>
      <b/>
      <sz val="9.0"/>
      <color rgb="FFB4C6E7"/>
      <name val="Calibri"/>
    </font>
    <font>
      <sz val="9.0"/>
      <color rgb="FFDF5F5F"/>
      <name val="Calibri"/>
    </font>
    <font>
      <b/>
      <u/>
      <sz val="11.0"/>
      <color rgb="FFB4C6E7"/>
      <name val="Calibri"/>
    </font>
    <font>
      <b/>
      <sz val="14.0"/>
      <color rgb="FFFFFF00"/>
      <name val="Calibri"/>
    </font>
    <font>
      <sz val="11.0"/>
      <color rgb="FFFFFF00"/>
      <name val="Calibri"/>
    </font>
    <font>
      <b/>
      <sz val="11.0"/>
      <color rgb="FFFFFF00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142340"/>
        <bgColor rgb="FF142340"/>
      </patternFill>
    </fill>
    <fill>
      <patternFill patternType="solid">
        <fgColor rgb="FF1F3864"/>
        <bgColor rgb="FF1F3864"/>
      </patternFill>
    </fill>
    <fill>
      <patternFill patternType="solid">
        <fgColor rgb="FF0E0A24"/>
        <bgColor rgb="FF0E0A24"/>
      </patternFill>
    </fill>
    <fill>
      <patternFill patternType="solid">
        <fgColor rgb="FF002060"/>
        <bgColor rgb="FF002060"/>
      </patternFill>
    </fill>
    <fill>
      <patternFill patternType="solid">
        <fgColor rgb="FFDEEAF6"/>
        <bgColor rgb="FFDEEAF6"/>
      </patternFill>
    </fill>
  </fills>
  <borders count="29">
    <border/>
    <border>
      <left/>
      <right/>
      <top/>
      <bottom/>
    </border>
    <border>
      <left/>
      <top/>
      <bottom/>
    </border>
    <border>
      <top/>
      <bottom/>
    </border>
    <border>
      <left style="thin">
        <color rgb="FF44546A"/>
      </left>
      <right style="thin">
        <color rgb="FF44546A"/>
      </right>
      <top style="thin">
        <color rgb="FF44546A"/>
      </top>
    </border>
    <border>
      <left style="thin">
        <color rgb="FF44546A"/>
      </left>
      <top style="thin">
        <color rgb="FF44546A"/>
      </top>
      <bottom style="thin">
        <color rgb="FF44546A"/>
      </bottom>
    </border>
    <border>
      <right style="thin">
        <color rgb="FF44546A"/>
      </right>
      <top style="thin">
        <color rgb="FF44546A"/>
      </top>
      <bottom style="thin">
        <color rgb="FF44546A"/>
      </bottom>
    </border>
    <border>
      <left style="thin">
        <color rgb="FF44546A"/>
      </left>
      <bottom style="thin">
        <color rgb="FF44546A"/>
      </bottom>
    </border>
    <border>
      <bottom style="thin">
        <color rgb="FF44546A"/>
      </bottom>
    </border>
    <border>
      <left style="thin">
        <color rgb="FF44546A"/>
      </left>
    </border>
    <border>
      <left style="thin">
        <color rgb="FF44546A"/>
      </left>
      <right style="thin">
        <color rgb="FF44546A"/>
      </right>
      <bottom style="thin">
        <color rgb="FF44546A"/>
      </bottom>
    </border>
    <border>
      <left style="thin">
        <color rgb="FF44546A"/>
      </left>
      <right style="thin">
        <color rgb="FF44546A"/>
      </right>
      <top style="thin">
        <color rgb="FF44546A"/>
      </top>
      <bottom style="thin">
        <color rgb="FF44546A"/>
      </bottom>
    </border>
    <border>
      <left style="thin">
        <color rgb="FF44546A"/>
      </left>
      <right/>
      <top/>
      <bottom/>
    </border>
    <border>
      <left/>
      <right style="thin">
        <color rgb="FF44546A"/>
      </right>
      <top/>
      <bottom style="thin">
        <color rgb="FF44546A"/>
      </bottom>
    </border>
    <border>
      <left style="thin">
        <color rgb="FF44546A"/>
      </left>
      <right style="thin">
        <color rgb="FF44546A"/>
      </right>
      <top style="thin">
        <color rgb="FF44546A"/>
      </top>
      <bottom/>
    </border>
    <border>
      <left/>
      <right/>
      <top style="thin">
        <color rgb="FF44546A"/>
      </top>
      <bottom/>
    </border>
    <border>
      <left style="thin">
        <color rgb="FF44546A"/>
      </left>
      <right/>
      <top/>
      <bottom style="thin">
        <color rgb="FF44546A"/>
      </bottom>
    </border>
    <border>
      <left style="thin">
        <color rgb="FF44546A"/>
      </left>
      <right/>
      <top/>
    </border>
    <border>
      <left/>
      <right style="thin">
        <color rgb="FF44546A"/>
      </right>
      <top/>
    </border>
    <border>
      <left style="thin">
        <color rgb="FF44546A"/>
      </left>
      <right/>
      <bottom style="thin">
        <color rgb="FF44546A"/>
      </bottom>
    </border>
    <border>
      <left/>
      <right style="thin">
        <color rgb="FF44546A"/>
      </right>
      <bottom style="thin">
        <color rgb="FF44546A"/>
      </bottom>
    </border>
    <border>
      <left/>
      <right/>
      <top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bottom style="thin">
        <color rgb="FF9CC2E5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9CC2E5"/>
      </left>
      <right/>
      <top style="thin">
        <color rgb="FF9CC2E5"/>
      </top>
      <bottom style="thin">
        <color rgb="FF9CC2E5"/>
      </bottom>
    </border>
    <border>
      <left style="thin">
        <color rgb="FF9CC2E5"/>
      </left>
      <top style="thin">
        <color rgb="FF9CC2E5"/>
      </top>
      <bottom style="thin">
        <color rgb="FF9CC2E5"/>
      </bottom>
    </border>
  </borders>
  <cellStyleXfs count="1">
    <xf borderId="0" fillId="0" fontId="0" numFmtId="0" applyAlignment="1" applyFont="1"/>
  </cellStyleXfs>
  <cellXfs count="111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vertical="center"/>
    </xf>
    <xf borderId="1" fillId="2" fontId="2" numFmtId="0" xfId="0" applyAlignment="1" applyBorder="1" applyFont="1">
      <alignment horizontal="center" vertical="center"/>
    </xf>
    <xf borderId="1" fillId="2" fontId="3" numFmtId="164" xfId="0" applyAlignment="1" applyBorder="1" applyFont="1" applyNumberFormat="1">
      <alignment horizontal="center" vertical="center"/>
    </xf>
    <xf borderId="1" fillId="2" fontId="3" numFmtId="0" xfId="0" applyAlignment="1" applyBorder="1" applyFont="1">
      <alignment vertical="center"/>
    </xf>
    <xf borderId="1" fillId="2" fontId="4" numFmtId="0" xfId="0" applyAlignment="1" applyBorder="1" applyFont="1">
      <alignment shrinkToFit="0" vertical="center" wrapText="1"/>
    </xf>
    <xf borderId="1" fillId="2" fontId="3" numFmtId="164" xfId="0" applyAlignment="1" applyBorder="1" applyFont="1" applyNumberFormat="1">
      <alignment vertical="center"/>
    </xf>
    <xf borderId="1" fillId="2" fontId="5" numFmtId="10" xfId="0" applyAlignment="1" applyBorder="1" applyFont="1" applyNumberFormat="1">
      <alignment horizontal="left" vertical="center"/>
    </xf>
    <xf borderId="1" fillId="2" fontId="4" numFmtId="164" xfId="0" applyAlignment="1" applyBorder="1" applyFont="1" applyNumberFormat="1">
      <alignment horizontal="center" vertical="center"/>
    </xf>
    <xf borderId="1" fillId="2" fontId="4" numFmtId="164" xfId="0" applyAlignment="1" applyBorder="1" applyFont="1" applyNumberFormat="1">
      <alignment vertical="center"/>
    </xf>
    <xf borderId="1" fillId="2" fontId="1" numFmtId="0" xfId="0" applyAlignment="1" applyBorder="1" applyFont="1">
      <alignment horizontal="right" vertical="center"/>
    </xf>
    <xf borderId="1" fillId="2" fontId="2" numFmtId="0" xfId="0" applyAlignment="1" applyBorder="1" applyFont="1">
      <alignment vertical="center"/>
    </xf>
    <xf borderId="1" fillId="3" fontId="6" numFmtId="165" xfId="0" applyAlignment="1" applyBorder="1" applyFill="1" applyFont="1" applyNumberFormat="1">
      <alignment readingOrder="0" vertical="center"/>
    </xf>
    <xf borderId="1" fillId="2" fontId="3" numFmtId="166" xfId="0" applyAlignment="1" applyBorder="1" applyFont="1" applyNumberFormat="1">
      <alignment vertical="center"/>
    </xf>
    <xf borderId="1" fillId="2" fontId="7" numFmtId="0" xfId="0" applyAlignment="1" applyBorder="1" applyFont="1">
      <alignment vertical="center"/>
    </xf>
    <xf borderId="1" fillId="2" fontId="3" numFmtId="167" xfId="0" applyAlignment="1" applyBorder="1" applyFont="1" applyNumberFormat="1">
      <alignment vertical="center"/>
    </xf>
    <xf borderId="1" fillId="2" fontId="3" numFmtId="0" xfId="0" applyAlignment="1" applyBorder="1" applyFont="1">
      <alignment shrinkToFit="0" vertical="center" wrapText="1"/>
    </xf>
    <xf borderId="1" fillId="3" fontId="6" numFmtId="9" xfId="0" applyAlignment="1" applyBorder="1" applyFont="1" applyNumberFormat="1">
      <alignment horizontal="center" readingOrder="0" vertical="center"/>
    </xf>
    <xf borderId="1" fillId="2" fontId="3" numFmtId="0" xfId="0" applyAlignment="1" applyBorder="1" applyFont="1">
      <alignment horizontal="right" vertical="center"/>
    </xf>
    <xf borderId="1" fillId="2" fontId="5" numFmtId="0" xfId="0" applyAlignment="1" applyBorder="1" applyFont="1">
      <alignment horizontal="left" vertical="center"/>
    </xf>
    <xf borderId="1" fillId="4" fontId="8" numFmtId="0" xfId="0" applyAlignment="1" applyBorder="1" applyFill="1" applyFont="1">
      <alignment horizontal="center" vertical="center"/>
    </xf>
    <xf borderId="1" fillId="4" fontId="9" numFmtId="0" xfId="0" applyAlignment="1" applyBorder="1" applyFont="1">
      <alignment horizontal="left" vertical="center"/>
    </xf>
    <xf borderId="1" fillId="4" fontId="10" numFmtId="0" xfId="0" applyAlignment="1" applyBorder="1" applyFont="1">
      <alignment vertical="center"/>
    </xf>
    <xf borderId="2" fillId="4" fontId="11" numFmtId="0" xfId="0" applyAlignment="1" applyBorder="1" applyFont="1">
      <alignment horizontal="center" vertical="center"/>
    </xf>
    <xf borderId="3" fillId="0" fontId="12" numFmtId="0" xfId="0" applyBorder="1" applyFont="1"/>
    <xf borderId="1" fillId="2" fontId="3" numFmtId="0" xfId="0" applyAlignment="1" applyBorder="1" applyFont="1">
      <alignment horizontal="left" vertical="center"/>
    </xf>
    <xf borderId="0" fillId="0" fontId="1" numFmtId="0" xfId="0" applyAlignment="1" applyFont="1">
      <alignment vertical="center"/>
    </xf>
    <xf borderId="0" fillId="0" fontId="2" numFmtId="0" xfId="0" applyAlignment="1" applyFont="1">
      <alignment horizontal="center" vertical="center"/>
    </xf>
    <xf borderId="0" fillId="0" fontId="3" numFmtId="164" xfId="0" applyAlignment="1" applyFont="1" applyNumberFormat="1">
      <alignment horizontal="center" vertical="center"/>
    </xf>
    <xf borderId="0" fillId="0" fontId="3" numFmtId="0" xfId="0" applyAlignment="1" applyFont="1">
      <alignment vertical="center"/>
    </xf>
    <xf borderId="0" fillId="0" fontId="4" numFmtId="0" xfId="0" applyAlignment="1" applyFont="1">
      <alignment shrinkToFit="0" vertical="center" wrapText="1"/>
    </xf>
    <xf borderId="0" fillId="0" fontId="3" numFmtId="164" xfId="0" applyAlignment="1" applyFont="1" applyNumberFormat="1">
      <alignment vertical="center"/>
    </xf>
    <xf borderId="0" fillId="0" fontId="5" numFmtId="10" xfId="0" applyAlignment="1" applyFont="1" applyNumberFormat="1">
      <alignment horizontal="left" vertical="center"/>
    </xf>
    <xf borderId="1" fillId="2" fontId="1" numFmtId="166" xfId="0" applyAlignment="1" applyBorder="1" applyFont="1" applyNumberFormat="1">
      <alignment vertical="center"/>
    </xf>
    <xf borderId="1" fillId="2" fontId="13" numFmtId="164" xfId="0" applyAlignment="1" applyBorder="1" applyFont="1" applyNumberFormat="1">
      <alignment vertical="center"/>
    </xf>
    <xf borderId="1" fillId="5" fontId="14" numFmtId="10" xfId="0" applyAlignment="1" applyBorder="1" applyFill="1" applyFont="1" applyNumberFormat="1">
      <alignment horizontal="center" vertical="center"/>
    </xf>
    <xf borderId="4" fillId="0" fontId="15" numFmtId="0" xfId="0" applyAlignment="1" applyBorder="1" applyFont="1">
      <alignment horizontal="center" vertical="center"/>
    </xf>
    <xf borderId="5" fillId="0" fontId="15" numFmtId="0" xfId="0" applyAlignment="1" applyBorder="1" applyFont="1">
      <alignment horizontal="center" vertical="center"/>
    </xf>
    <xf borderId="6" fillId="0" fontId="12" numFmtId="0" xfId="0" applyBorder="1" applyFont="1"/>
    <xf borderId="5" fillId="0" fontId="16" numFmtId="0" xfId="0" applyAlignment="1" applyBorder="1" applyFont="1">
      <alignment horizontal="center" vertical="center"/>
    </xf>
    <xf borderId="7" fillId="0" fontId="17" numFmtId="0" xfId="0" applyAlignment="1" applyBorder="1" applyFont="1">
      <alignment horizontal="center" vertical="center"/>
    </xf>
    <xf borderId="8" fillId="0" fontId="12" numFmtId="0" xfId="0" applyBorder="1" applyFont="1"/>
    <xf borderId="1" fillId="2" fontId="1" numFmtId="10" xfId="0" applyAlignment="1" applyBorder="1" applyFont="1" applyNumberFormat="1">
      <alignment horizontal="center" vertical="center"/>
    </xf>
    <xf borderId="0" fillId="0" fontId="15" numFmtId="0" xfId="0" applyAlignment="1" applyFont="1">
      <alignment horizontal="center" vertical="center"/>
    </xf>
    <xf borderId="9" fillId="0" fontId="15" numFmtId="0" xfId="0" applyAlignment="1" applyBorder="1" applyFont="1">
      <alignment horizontal="center" vertical="center"/>
    </xf>
    <xf borderId="1" fillId="2" fontId="15" numFmtId="0" xfId="0" applyAlignment="1" applyBorder="1" applyFont="1">
      <alignment vertical="center"/>
    </xf>
    <xf borderId="1" fillId="2" fontId="4" numFmtId="0" xfId="0" applyAlignment="1" applyBorder="1" applyFont="1">
      <alignment vertical="center"/>
    </xf>
    <xf borderId="10" fillId="0" fontId="12" numFmtId="0" xfId="0" applyBorder="1" applyFont="1"/>
    <xf borderId="11" fillId="2" fontId="1" numFmtId="164" xfId="0" applyAlignment="1" applyBorder="1" applyFont="1" applyNumberFormat="1">
      <alignment horizontal="center" vertical="center"/>
    </xf>
    <xf borderId="11" fillId="3" fontId="18" numFmtId="0" xfId="0" applyAlignment="1" applyBorder="1" applyFont="1">
      <alignment horizontal="center" vertical="center"/>
    </xf>
    <xf borderId="11" fillId="3" fontId="1" numFmtId="164" xfId="0" applyAlignment="1" applyBorder="1" applyFont="1" applyNumberFormat="1">
      <alignment horizontal="center" vertical="center"/>
    </xf>
    <xf borderId="11" fillId="2" fontId="1" numFmtId="10" xfId="0" applyAlignment="1" applyBorder="1" applyFont="1" applyNumberFormat="1">
      <alignment horizontal="center" vertical="center"/>
    </xf>
    <xf borderId="12" fillId="2" fontId="1" numFmtId="0" xfId="0" applyAlignment="1" applyBorder="1" applyFont="1">
      <alignment horizontal="right" vertical="center"/>
    </xf>
    <xf borderId="1" fillId="2" fontId="19" numFmtId="0" xfId="0" applyAlignment="1" applyBorder="1" applyFont="1">
      <alignment horizontal="center" vertical="center"/>
    </xf>
    <xf borderId="13" fillId="2" fontId="1" numFmtId="0" xfId="0" applyAlignment="1" applyBorder="1" applyFont="1">
      <alignment horizontal="left" vertical="center"/>
    </xf>
    <xf borderId="1" fillId="2" fontId="20" numFmtId="164" xfId="0" applyAlignment="1" applyBorder="1" applyFont="1" applyNumberFormat="1">
      <alignment horizontal="center" vertical="center"/>
    </xf>
    <xf borderId="1" fillId="2" fontId="21" numFmtId="0" xfId="0" applyAlignment="1" applyBorder="1" applyFont="1">
      <alignment horizontal="center" vertical="center"/>
    </xf>
    <xf borderId="11" fillId="2" fontId="22" numFmtId="0" xfId="0" applyAlignment="1" applyBorder="1" applyFont="1">
      <alignment horizontal="center" vertical="center"/>
    </xf>
    <xf borderId="11" fillId="2" fontId="10" numFmtId="165" xfId="0" applyAlignment="1" applyBorder="1" applyFont="1" applyNumberFormat="1">
      <alignment horizontal="center" vertical="center"/>
    </xf>
    <xf borderId="11" fillId="3" fontId="23" numFmtId="9" xfId="0" applyAlignment="1" applyBorder="1" applyFont="1" applyNumberFormat="1">
      <alignment horizontal="center" vertical="center"/>
    </xf>
    <xf borderId="11" fillId="2" fontId="1" numFmtId="168" xfId="0" applyAlignment="1" applyBorder="1" applyFont="1" applyNumberFormat="1">
      <alignment horizontal="center" vertical="center"/>
    </xf>
    <xf borderId="11" fillId="3" fontId="22" numFmtId="165" xfId="0" applyAlignment="1" applyBorder="1" applyFont="1" applyNumberFormat="1">
      <alignment horizontal="center" readingOrder="0" vertical="center"/>
    </xf>
    <xf borderId="11" fillId="2" fontId="24" numFmtId="165" xfId="0" applyAlignment="1" applyBorder="1" applyFont="1" applyNumberFormat="1">
      <alignment horizontal="center" vertical="center"/>
    </xf>
    <xf borderId="14" fillId="2" fontId="24" numFmtId="10" xfId="0" applyAlignment="1" applyBorder="1" applyFont="1" applyNumberFormat="1">
      <alignment horizontal="center" vertical="center"/>
    </xf>
    <xf borderId="1" fillId="2" fontId="24" numFmtId="10" xfId="0" applyAlignment="1" applyBorder="1" applyFont="1" applyNumberFormat="1">
      <alignment horizontal="center" vertical="center"/>
    </xf>
    <xf borderId="1" fillId="2" fontId="24" numFmtId="169" xfId="0" applyAlignment="1" applyBorder="1" applyFont="1" applyNumberFormat="1">
      <alignment horizontal="center" vertical="center"/>
    </xf>
    <xf borderId="15" fillId="2" fontId="3" numFmtId="0" xfId="0" applyAlignment="1" applyBorder="1" applyFont="1">
      <alignment vertical="center"/>
    </xf>
    <xf borderId="1" fillId="2" fontId="15" numFmtId="164" xfId="0" applyAlignment="1" applyBorder="1" applyFont="1" applyNumberFormat="1">
      <alignment horizontal="center" vertical="center"/>
    </xf>
    <xf borderId="11" fillId="2" fontId="24" numFmtId="10" xfId="0" applyAlignment="1" applyBorder="1" applyFont="1" applyNumberFormat="1">
      <alignment horizontal="center" vertical="center"/>
    </xf>
    <xf borderId="11" fillId="3" fontId="25" numFmtId="165" xfId="0" applyAlignment="1" applyBorder="1" applyFont="1" applyNumberFormat="1">
      <alignment horizontal="center" readingOrder="0" vertical="center"/>
    </xf>
    <xf borderId="1" fillId="2" fontId="24" numFmtId="165" xfId="0" applyAlignment="1" applyBorder="1" applyFont="1" applyNumberFormat="1">
      <alignment horizontal="center" vertical="center"/>
    </xf>
    <xf borderId="16" fillId="2" fontId="1" numFmtId="10" xfId="0" applyAlignment="1" applyBorder="1" applyFont="1" applyNumberFormat="1">
      <alignment horizontal="center" vertical="center"/>
    </xf>
    <xf borderId="17" fillId="2" fontId="3" numFmtId="0" xfId="0" applyAlignment="1" applyBorder="1" applyFont="1">
      <alignment horizontal="center" vertical="center"/>
    </xf>
    <xf borderId="18" fillId="2" fontId="1" numFmtId="0" xfId="0" applyAlignment="1" applyBorder="1" applyFont="1">
      <alignment horizontal="left" vertical="center"/>
    </xf>
    <xf borderId="16" fillId="2" fontId="1" numFmtId="170" xfId="0" applyAlignment="1" applyBorder="1" applyFont="1" applyNumberFormat="1">
      <alignment horizontal="center" vertical="center"/>
    </xf>
    <xf borderId="19" fillId="0" fontId="12" numFmtId="0" xfId="0" applyBorder="1" applyFont="1"/>
    <xf borderId="20" fillId="0" fontId="12" numFmtId="0" xfId="0" applyBorder="1" applyFont="1"/>
    <xf borderId="1" fillId="2" fontId="4" numFmtId="0" xfId="0" applyAlignment="1" applyBorder="1" applyFont="1">
      <alignment horizontal="center" vertical="center"/>
    </xf>
    <xf borderId="1" fillId="2" fontId="3" numFmtId="10" xfId="0" applyAlignment="1" applyBorder="1" applyFont="1" applyNumberFormat="1">
      <alignment vertical="center"/>
    </xf>
    <xf borderId="12" fillId="2" fontId="1" numFmtId="10" xfId="0" applyAlignment="1" applyBorder="1" applyFont="1" applyNumberFormat="1">
      <alignment vertical="center"/>
    </xf>
    <xf borderId="1" fillId="2" fontId="3" numFmtId="0" xfId="0" applyAlignment="1" applyBorder="1" applyFont="1">
      <alignment horizontal="center" vertical="center"/>
    </xf>
    <xf borderId="13" fillId="2" fontId="1" numFmtId="0" xfId="0" applyAlignment="1" applyBorder="1" applyFont="1">
      <alignment vertical="center"/>
    </xf>
    <xf borderId="15" fillId="2" fontId="1" numFmtId="0" xfId="0" applyAlignment="1" applyBorder="1" applyFont="1">
      <alignment vertical="center"/>
    </xf>
    <xf borderId="11" fillId="3" fontId="22" numFmtId="165" xfId="0" applyAlignment="1" applyBorder="1" applyFont="1" applyNumberFormat="1">
      <alignment horizontal="center" vertical="center"/>
    </xf>
    <xf borderId="1" fillId="3" fontId="6" numFmtId="171" xfId="0" applyAlignment="1" applyBorder="1" applyFont="1" applyNumberFormat="1">
      <alignment readingOrder="0" vertical="center"/>
    </xf>
    <xf borderId="1" fillId="3" fontId="6" numFmtId="171" xfId="0" applyAlignment="1" applyBorder="1" applyFont="1" applyNumberFormat="1">
      <alignment vertical="center"/>
    </xf>
    <xf borderId="1" fillId="3" fontId="6" numFmtId="10" xfId="0" applyAlignment="1" applyBorder="1" applyFont="1" applyNumberFormat="1">
      <alignment horizontal="center" readingOrder="0" vertical="center"/>
    </xf>
    <xf borderId="1" fillId="5" fontId="5" numFmtId="10" xfId="0" applyAlignment="1" applyBorder="1" applyFont="1" applyNumberFormat="1">
      <alignment horizontal="center" vertical="center"/>
    </xf>
    <xf borderId="7" fillId="0" fontId="15" numFmtId="0" xfId="0" applyAlignment="1" applyBorder="1" applyFont="1">
      <alignment horizontal="center" vertical="center"/>
    </xf>
    <xf borderId="11" fillId="2" fontId="10" numFmtId="171" xfId="0" applyAlignment="1" applyBorder="1" applyFont="1" applyNumberFormat="1">
      <alignment horizontal="center" vertical="center"/>
    </xf>
    <xf borderId="11" fillId="3" fontId="22" numFmtId="171" xfId="0" applyAlignment="1" applyBorder="1" applyFont="1" applyNumberFormat="1">
      <alignment horizontal="center" readingOrder="0" vertical="center"/>
    </xf>
    <xf borderId="11" fillId="2" fontId="24" numFmtId="171" xfId="0" applyAlignment="1" applyBorder="1" applyFont="1" applyNumberFormat="1">
      <alignment horizontal="center" vertical="center"/>
    </xf>
    <xf borderId="1" fillId="2" fontId="24" numFmtId="172" xfId="0" applyAlignment="1" applyBorder="1" applyFont="1" applyNumberFormat="1">
      <alignment horizontal="center" vertical="center"/>
    </xf>
    <xf borderId="1" fillId="2" fontId="24" numFmtId="171" xfId="0" applyAlignment="1" applyBorder="1" applyFont="1" applyNumberFormat="1">
      <alignment horizontal="center" vertical="center"/>
    </xf>
    <xf borderId="11" fillId="3" fontId="22" numFmtId="171" xfId="0" applyAlignment="1" applyBorder="1" applyFont="1" applyNumberFormat="1">
      <alignment horizontal="center" vertical="center"/>
    </xf>
    <xf borderId="21" fillId="5" fontId="26" numFmtId="0" xfId="0" applyAlignment="1" applyBorder="1" applyFont="1">
      <alignment horizontal="center" vertical="center"/>
    </xf>
    <xf borderId="0" fillId="0" fontId="3" numFmtId="0" xfId="0" applyAlignment="1" applyFont="1">
      <alignment horizontal="center"/>
    </xf>
    <xf borderId="22" fillId="5" fontId="27" numFmtId="0" xfId="0" applyAlignment="1" applyBorder="1" applyFont="1">
      <alignment horizontal="center"/>
    </xf>
    <xf borderId="23" fillId="0" fontId="12" numFmtId="0" xfId="0" applyBorder="1" applyFont="1"/>
    <xf borderId="24" fillId="0" fontId="12" numFmtId="0" xfId="0" applyBorder="1" applyFont="1"/>
    <xf borderId="25" fillId="0" fontId="12" numFmtId="0" xfId="0" applyBorder="1" applyFont="1"/>
    <xf borderId="0" fillId="0" fontId="2" numFmtId="0" xfId="0" applyAlignment="1" applyFont="1">
      <alignment horizontal="center"/>
    </xf>
    <xf borderId="26" fillId="0" fontId="2" numFmtId="173" xfId="0" applyBorder="1" applyFont="1" applyNumberFormat="1"/>
    <xf borderId="0" fillId="0" fontId="3" numFmtId="173" xfId="0" applyFont="1" applyNumberFormat="1"/>
    <xf borderId="27" fillId="6" fontId="3" numFmtId="0" xfId="0" applyBorder="1" applyFill="1" applyFont="1"/>
    <xf borderId="1" fillId="5" fontId="28" numFmtId="0" xfId="0" applyAlignment="1" applyBorder="1" applyFont="1">
      <alignment horizontal="center"/>
    </xf>
    <xf borderId="26" fillId="0" fontId="3" numFmtId="0" xfId="0" applyAlignment="1" applyBorder="1" applyFont="1">
      <alignment horizontal="center"/>
    </xf>
    <xf borderId="26" fillId="0" fontId="3" numFmtId="0" xfId="0" applyBorder="1" applyFont="1"/>
    <xf borderId="28" fillId="0" fontId="3" numFmtId="0" xfId="0" applyBorder="1" applyFont="1"/>
    <xf borderId="27" fillId="6" fontId="3" numFmtId="0" xfId="0" applyAlignment="1" applyBorder="1" applyFont="1">
      <alignment shrinkToFit="0" wrapText="1"/>
    </xf>
    <xf borderId="28" fillId="0" fontId="3" numFmtId="0" xfId="0" applyAlignment="1" applyBorder="1" applyFont="1">
      <alignment shrinkToFit="0" wrapText="1"/>
    </xf>
  </cellXfs>
  <cellStyles count="1">
    <cellStyle xfId="0" name="Normal" builtinId="0"/>
  </cellStyles>
  <dxfs count="3">
    <dxf>
      <font>
        <b/>
      </font>
      <fill>
        <patternFill patternType="none"/>
      </fill>
      <border/>
    </dxf>
    <dxf>
      <font/>
      <fill>
        <patternFill patternType="none"/>
      </fill>
      <border/>
    </dxf>
    <dxf>
      <font>
        <color rgb="FFDF5F5F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 outlineLevelCol="3"/>
  <cols>
    <col customWidth="1" min="1" max="1" width="4.25"/>
    <col customWidth="1" min="2" max="2" width="7.25"/>
    <col customWidth="1" min="3" max="3" width="16.63"/>
    <col customWidth="1" min="4" max="4" width="16.75"/>
    <col customWidth="1" hidden="1" min="5" max="5" width="5.63"/>
    <col customWidth="1" hidden="1" min="6" max="6" width="10.88"/>
    <col customWidth="1" min="7" max="7" width="3.25"/>
    <col customWidth="1" min="8" max="8" width="13.38"/>
    <col customWidth="1" min="9" max="9" width="12.13"/>
    <col customWidth="1" min="10" max="10" width="12.38"/>
    <col customWidth="1" min="11" max="11" width="10.75"/>
    <col customWidth="1" min="12" max="12" width="3.0"/>
    <col customWidth="1" min="13" max="15" width="10.75" outlineLevel="3"/>
    <col customWidth="1" min="16" max="16" width="3.0"/>
    <col customWidth="1" min="17" max="17" width="10.88"/>
    <col customWidth="1" min="18" max="18" width="7.0"/>
    <col customWidth="1" min="19" max="20" width="9.13"/>
    <col customWidth="1" min="21" max="21" width="11.75"/>
    <col customWidth="1" hidden="1" min="22" max="22" width="16.63"/>
    <col customWidth="1" hidden="1" min="23" max="23" width="9.88"/>
    <col customWidth="1" hidden="1" min="24" max="24" width="13.75"/>
    <col customWidth="1" hidden="1" min="25" max="27" width="8.75"/>
  </cols>
  <sheetData>
    <row r="1">
      <c r="A1" s="1"/>
      <c r="B1" s="2"/>
      <c r="C1" s="3"/>
      <c r="D1" s="3"/>
      <c r="E1" s="4"/>
      <c r="F1" s="3"/>
      <c r="G1" s="5"/>
      <c r="H1" s="6"/>
      <c r="I1" s="6"/>
      <c r="J1" s="6"/>
      <c r="K1" s="7"/>
      <c r="L1" s="7"/>
      <c r="M1" s="7"/>
      <c r="N1" s="7"/>
      <c r="O1" s="7"/>
      <c r="P1" s="4"/>
      <c r="Q1" s="4"/>
      <c r="R1" s="4"/>
      <c r="S1" s="4"/>
      <c r="T1" s="4"/>
      <c r="U1" s="4"/>
      <c r="V1" s="8"/>
      <c r="W1" s="5"/>
      <c r="X1" s="9"/>
    </row>
    <row r="2">
      <c r="A2" s="1"/>
      <c r="B2" s="2"/>
      <c r="C2" s="3"/>
      <c r="D2" s="3"/>
      <c r="E2" s="4"/>
      <c r="F2" s="3"/>
      <c r="G2" s="5"/>
      <c r="H2" s="6"/>
      <c r="I2" s="6"/>
      <c r="J2" s="6"/>
      <c r="K2" s="7"/>
      <c r="L2" s="7"/>
      <c r="M2" s="7"/>
      <c r="N2" s="7"/>
      <c r="O2" s="7"/>
      <c r="P2" s="4"/>
      <c r="Q2" s="4"/>
      <c r="R2" s="4"/>
      <c r="S2" s="4"/>
      <c r="T2" s="4"/>
      <c r="U2" s="4"/>
      <c r="V2" s="8"/>
      <c r="W2" s="5"/>
      <c r="X2" s="9"/>
    </row>
    <row r="3">
      <c r="A3" s="1"/>
      <c r="B3" s="2"/>
      <c r="C3" s="3"/>
      <c r="D3" s="3"/>
      <c r="E3" s="4"/>
      <c r="F3" s="3"/>
      <c r="G3" s="5"/>
      <c r="H3" s="6"/>
      <c r="I3" s="6"/>
      <c r="J3" s="6"/>
      <c r="K3" s="7"/>
      <c r="L3" s="7"/>
      <c r="M3" s="7"/>
      <c r="N3" s="7"/>
      <c r="O3" s="7"/>
      <c r="P3" s="4"/>
      <c r="Q3" s="4"/>
      <c r="R3" s="4"/>
      <c r="S3" s="4"/>
      <c r="T3" s="4"/>
      <c r="U3" s="4"/>
      <c r="V3" s="8"/>
      <c r="W3" s="5"/>
      <c r="X3" s="9"/>
    </row>
    <row r="4">
      <c r="A4" s="1"/>
      <c r="B4" s="2"/>
      <c r="C4" s="3"/>
      <c r="D4" s="3"/>
      <c r="E4" s="4"/>
      <c r="F4" s="3"/>
      <c r="G4" s="5"/>
      <c r="H4" s="6"/>
      <c r="I4" s="6"/>
      <c r="J4" s="6"/>
      <c r="K4" s="7"/>
      <c r="L4" s="7"/>
      <c r="M4" s="7"/>
      <c r="N4" s="7"/>
      <c r="O4" s="7"/>
      <c r="P4" s="4"/>
      <c r="Q4" s="4"/>
      <c r="R4" s="4"/>
      <c r="S4" s="4"/>
      <c r="T4" s="4"/>
      <c r="U4" s="4"/>
      <c r="V4" s="4"/>
      <c r="W4" s="4"/>
      <c r="X4" s="4"/>
    </row>
    <row r="5">
      <c r="A5" s="1"/>
      <c r="B5" s="2"/>
      <c r="C5" s="3"/>
      <c r="D5" s="3"/>
      <c r="E5" s="4"/>
      <c r="F5" s="3"/>
      <c r="G5" s="5"/>
      <c r="H5" s="6"/>
      <c r="I5" s="6"/>
      <c r="J5" s="6"/>
      <c r="K5" s="7"/>
      <c r="L5" s="7"/>
      <c r="M5" s="7"/>
      <c r="N5" s="7"/>
      <c r="O5" s="7"/>
      <c r="P5" s="4"/>
      <c r="Q5" s="4"/>
      <c r="R5" s="4"/>
      <c r="S5" s="4"/>
      <c r="T5" s="4"/>
      <c r="U5" s="4"/>
      <c r="V5" s="4"/>
      <c r="W5" s="4"/>
      <c r="X5" s="4"/>
    </row>
    <row r="6">
      <c r="A6" s="10"/>
      <c r="B6" s="11" t="s">
        <v>0</v>
      </c>
      <c r="C6" s="4"/>
      <c r="D6" s="4"/>
      <c r="E6" s="2"/>
      <c r="F6" s="4"/>
      <c r="G6" s="4"/>
      <c r="H6" s="4"/>
      <c r="I6" s="4"/>
      <c r="J6" s="6"/>
      <c r="K6" s="7"/>
      <c r="L6" s="7"/>
      <c r="M6" s="7"/>
      <c r="N6" s="7"/>
      <c r="O6" s="7"/>
      <c r="P6" s="4"/>
      <c r="Q6" s="4"/>
      <c r="R6" s="4"/>
      <c r="S6" s="4"/>
      <c r="T6" s="4"/>
      <c r="U6" s="4"/>
      <c r="V6" s="4"/>
      <c r="W6" s="4"/>
      <c r="X6" s="4"/>
    </row>
    <row r="7">
      <c r="A7" s="10"/>
      <c r="B7" s="1"/>
      <c r="C7" s="4"/>
      <c r="D7" s="4"/>
      <c r="E7" s="4"/>
      <c r="F7" s="4"/>
      <c r="G7" s="4"/>
      <c r="H7" s="4"/>
      <c r="I7" s="4"/>
      <c r="J7" s="6"/>
      <c r="K7" s="7"/>
      <c r="L7" s="7"/>
      <c r="M7" s="7"/>
      <c r="N7" s="7"/>
      <c r="O7" s="7"/>
      <c r="P7" s="4"/>
      <c r="Q7" s="4"/>
      <c r="R7" s="4"/>
      <c r="S7" s="4"/>
      <c r="T7" s="4"/>
      <c r="U7" s="4"/>
      <c r="V7" s="4"/>
      <c r="W7" s="4"/>
      <c r="X7" s="4"/>
    </row>
    <row r="8">
      <c r="A8" s="10" t="s">
        <v>1</v>
      </c>
      <c r="B8" s="1" t="s">
        <v>2</v>
      </c>
      <c r="C8" s="4"/>
      <c r="D8" s="12">
        <v>3.42</v>
      </c>
      <c r="E8" s="2"/>
      <c r="F8" s="13"/>
      <c r="G8" s="4"/>
      <c r="H8" s="4"/>
      <c r="I8" s="4"/>
      <c r="J8" s="6"/>
      <c r="K8" s="7"/>
      <c r="L8" s="7"/>
      <c r="M8" s="7"/>
      <c r="N8" s="7"/>
      <c r="O8" s="7"/>
      <c r="P8" s="4"/>
      <c r="Q8" s="4"/>
      <c r="R8" s="4"/>
      <c r="S8" s="4"/>
      <c r="T8" s="4"/>
      <c r="U8" s="4"/>
      <c r="V8" s="4"/>
      <c r="W8" s="4"/>
      <c r="X8" s="4"/>
    </row>
    <row r="9">
      <c r="A9" s="10"/>
      <c r="B9" s="1"/>
      <c r="C9" s="4"/>
      <c r="D9" s="14"/>
      <c r="E9" s="4"/>
      <c r="F9" s="4"/>
      <c r="G9" s="4"/>
      <c r="H9" s="4"/>
      <c r="I9" s="4"/>
      <c r="J9" s="6"/>
      <c r="K9" s="7"/>
      <c r="L9" s="7"/>
      <c r="M9" s="7"/>
      <c r="N9" s="7"/>
      <c r="O9" s="7"/>
      <c r="P9" s="4"/>
      <c r="Q9" s="4"/>
      <c r="R9" s="4"/>
      <c r="S9" s="15"/>
      <c r="T9" s="4"/>
      <c r="U9" s="4"/>
      <c r="V9" s="8"/>
      <c r="W9" s="5"/>
      <c r="X9" s="9"/>
    </row>
    <row r="10">
      <c r="A10" s="10" t="s">
        <v>3</v>
      </c>
      <c r="B10" s="1" t="s">
        <v>4</v>
      </c>
      <c r="C10" s="4"/>
      <c r="D10" s="12">
        <v>10000.0</v>
      </c>
      <c r="E10" s="2"/>
      <c r="F10" s="4"/>
      <c r="G10" s="4"/>
      <c r="H10" s="4"/>
      <c r="I10" s="4"/>
      <c r="J10" s="6"/>
      <c r="K10" s="7"/>
      <c r="L10" s="7"/>
      <c r="M10" s="7"/>
      <c r="N10" s="7"/>
      <c r="O10" s="7"/>
      <c r="P10" s="4"/>
      <c r="Q10" s="4"/>
      <c r="R10" s="4"/>
      <c r="S10" s="15"/>
      <c r="T10" s="15"/>
      <c r="U10" s="15"/>
      <c r="V10" s="3"/>
      <c r="W10" s="16"/>
      <c r="X10" s="6"/>
      <c r="Y10" s="4"/>
      <c r="Z10" s="4"/>
      <c r="AA10" s="4"/>
    </row>
    <row r="11">
      <c r="A11" s="10"/>
      <c r="B11" s="1"/>
      <c r="C11" s="4"/>
      <c r="D11" s="4"/>
      <c r="E11" s="4"/>
      <c r="F11" s="4"/>
      <c r="G11" s="4"/>
      <c r="H11" s="4"/>
      <c r="I11" s="4"/>
      <c r="J11" s="6"/>
      <c r="K11" s="7"/>
      <c r="L11" s="7"/>
      <c r="M11" s="7"/>
      <c r="N11" s="7"/>
      <c r="O11" s="7"/>
      <c r="P11" s="4"/>
      <c r="Q11" s="4"/>
      <c r="R11" s="4"/>
      <c r="S11" s="4"/>
      <c r="T11" s="15"/>
      <c r="U11" s="15"/>
      <c r="V11" s="3"/>
      <c r="W11" s="16"/>
      <c r="X11" s="6"/>
      <c r="Y11" s="4"/>
      <c r="Z11" s="4"/>
      <c r="AA11" s="4"/>
    </row>
    <row r="12">
      <c r="A12" s="10" t="s">
        <v>5</v>
      </c>
      <c r="B12" s="1" t="s">
        <v>6</v>
      </c>
      <c r="C12" s="4"/>
      <c r="D12" s="17">
        <v>0.12</v>
      </c>
      <c r="E12" s="2"/>
      <c r="F12" s="4"/>
      <c r="G12" s="4"/>
      <c r="H12" s="4"/>
      <c r="I12" s="4"/>
      <c r="J12" s="6"/>
      <c r="K12" s="7"/>
      <c r="L12" s="7"/>
      <c r="M12" s="7"/>
      <c r="N12" s="7"/>
      <c r="O12" s="7"/>
      <c r="P12" s="4"/>
      <c r="Q12" s="4"/>
      <c r="R12" s="4"/>
      <c r="S12" s="4"/>
      <c r="T12" s="15"/>
      <c r="U12" s="15"/>
      <c r="V12" s="3"/>
      <c r="W12" s="16"/>
      <c r="X12" s="6"/>
      <c r="Y12" s="4"/>
      <c r="Z12" s="4"/>
      <c r="AA12" s="4"/>
    </row>
    <row r="13">
      <c r="A13" s="18"/>
      <c r="B13" s="4"/>
      <c r="C13" s="4"/>
      <c r="D13" s="4"/>
      <c r="E13" s="4"/>
      <c r="F13" s="4"/>
      <c r="G13" s="4"/>
      <c r="H13" s="4"/>
      <c r="I13" s="4"/>
      <c r="J13" s="6"/>
      <c r="K13" s="7"/>
      <c r="L13" s="7"/>
      <c r="M13" s="7"/>
      <c r="N13" s="19"/>
      <c r="O13" s="7"/>
      <c r="P13" s="4"/>
      <c r="Q13" s="4"/>
      <c r="R13" s="4"/>
      <c r="S13" s="4"/>
      <c r="T13" s="4"/>
      <c r="U13" s="4"/>
      <c r="V13" s="8"/>
      <c r="W13" s="5"/>
      <c r="X13" s="9"/>
      <c r="Y13" s="4"/>
      <c r="Z13" s="4"/>
      <c r="AA13" s="4"/>
    </row>
    <row r="14">
      <c r="A14" s="18"/>
      <c r="B14" s="10" t="s">
        <v>7</v>
      </c>
      <c r="C14" s="4"/>
      <c r="D14" s="20">
        <f>IF(COUNTIF('gerenciamento R$'!$W$4:$W$368,"meta")&gt;=1,COUNTIF('gerenciamento R$'!$W$4:$W$368,"meta")+1,COUNTIF('gerenciamento R$'!$W$4:$W$368,"meta"))</f>
        <v>71</v>
      </c>
      <c r="E14" s="21" t="s">
        <v>8</v>
      </c>
      <c r="F14" s="22"/>
      <c r="G14" s="23" t="s">
        <v>9</v>
      </c>
      <c r="H14" s="24"/>
      <c r="I14" s="24"/>
      <c r="J14" s="24"/>
      <c r="K14" s="7"/>
      <c r="L14" s="7"/>
      <c r="M14" s="7"/>
      <c r="N14" s="7"/>
      <c r="O14" s="7"/>
      <c r="P14" s="4"/>
      <c r="Q14" s="4"/>
      <c r="R14" s="4"/>
      <c r="S14" s="4"/>
      <c r="T14" s="4"/>
      <c r="U14" s="4"/>
      <c r="V14" s="8"/>
      <c r="W14" s="5"/>
      <c r="X14" s="9"/>
      <c r="Y14" s="4"/>
      <c r="Z14" s="4"/>
      <c r="AA14" s="4"/>
    </row>
    <row r="15">
      <c r="A15" s="18"/>
      <c r="B15" s="4"/>
      <c r="C15" s="4"/>
      <c r="D15" s="4"/>
      <c r="E15" s="25"/>
      <c r="F15" s="4"/>
      <c r="G15" s="4"/>
      <c r="H15" s="4"/>
      <c r="I15" s="4"/>
      <c r="J15" s="6"/>
      <c r="K15" s="7"/>
      <c r="L15" s="7"/>
      <c r="M15" s="7"/>
      <c r="N15" s="7"/>
      <c r="O15" s="7"/>
      <c r="P15" s="4"/>
      <c r="Q15" s="4"/>
      <c r="R15" s="4"/>
      <c r="S15" s="4"/>
      <c r="T15" s="4"/>
      <c r="U15" s="4"/>
      <c r="V15" s="8"/>
      <c r="W15" s="5"/>
      <c r="X15" s="9"/>
      <c r="Y15" s="4"/>
      <c r="Z15" s="4"/>
      <c r="AA15" s="4"/>
    </row>
    <row r="16">
      <c r="A16" s="26"/>
      <c r="B16" s="27"/>
      <c r="C16" s="28"/>
      <c r="D16" s="28"/>
      <c r="E16" s="29"/>
      <c r="F16" s="28"/>
      <c r="G16" s="30"/>
      <c r="H16" s="31"/>
      <c r="I16" s="31"/>
      <c r="J16" s="31"/>
      <c r="K16" s="32"/>
      <c r="L16" s="32"/>
      <c r="M16" s="32"/>
      <c r="N16" s="32"/>
      <c r="O16" s="32"/>
      <c r="P16" s="29"/>
      <c r="Q16" s="29"/>
      <c r="R16" s="29"/>
      <c r="S16" s="29"/>
      <c r="T16" s="4"/>
      <c r="U16" s="4"/>
      <c r="V16" s="8"/>
      <c r="W16" s="5"/>
      <c r="X16" s="9"/>
      <c r="Y16" s="4"/>
      <c r="Z16" s="4"/>
      <c r="AA16" s="4"/>
    </row>
    <row r="17" ht="22.5" customHeight="1">
      <c r="A17" s="33"/>
      <c r="B17" s="2"/>
      <c r="C17" s="3"/>
      <c r="D17" s="3"/>
      <c r="E17" s="4"/>
      <c r="F17" s="3"/>
      <c r="G17" s="5"/>
      <c r="H17" s="34"/>
      <c r="I17" s="6"/>
      <c r="J17" s="6"/>
      <c r="K17" s="7"/>
      <c r="L17" s="7"/>
      <c r="M17" s="7"/>
      <c r="N17" s="35">
        <v>0.87</v>
      </c>
      <c r="O17" s="7"/>
      <c r="P17" s="4"/>
      <c r="Q17" s="4"/>
      <c r="R17" s="4"/>
      <c r="S17" s="4"/>
      <c r="T17" s="4"/>
      <c r="U17" s="4"/>
      <c r="V17" s="8"/>
      <c r="W17" s="5"/>
      <c r="X17" s="9"/>
      <c r="Y17" s="4"/>
      <c r="Z17" s="4"/>
      <c r="AA17" s="4"/>
    </row>
    <row r="18" ht="22.5" customHeight="1">
      <c r="A18" s="1"/>
      <c r="B18" s="36" t="s">
        <v>10</v>
      </c>
      <c r="C18" s="37" t="s">
        <v>11</v>
      </c>
      <c r="D18" s="38"/>
      <c r="E18" s="39" t="s">
        <v>12</v>
      </c>
      <c r="F18" s="38"/>
      <c r="G18" s="5"/>
      <c r="H18" s="40" t="s">
        <v>13</v>
      </c>
      <c r="I18" s="41"/>
      <c r="J18" s="41"/>
      <c r="K18" s="41"/>
      <c r="L18" s="42"/>
      <c r="M18" s="43" t="s">
        <v>14</v>
      </c>
      <c r="P18" s="4"/>
      <c r="Q18" s="44" t="s">
        <v>15</v>
      </c>
      <c r="T18" s="45"/>
      <c r="U18" s="4"/>
      <c r="V18" s="46"/>
      <c r="W18" s="5"/>
      <c r="X18" s="46"/>
      <c r="Y18" s="4"/>
      <c r="Z18" s="4"/>
      <c r="AA18" s="4"/>
    </row>
    <row r="19" ht="24.75" customHeight="1">
      <c r="A19" s="1"/>
      <c r="B19" s="47"/>
      <c r="C19" s="48" t="s">
        <v>16</v>
      </c>
      <c r="D19" s="48" t="s">
        <v>17</v>
      </c>
      <c r="E19" s="49">
        <v>1.0</v>
      </c>
      <c r="F19" s="48" t="s">
        <v>18</v>
      </c>
      <c r="G19" s="5"/>
      <c r="H19" s="50" t="s">
        <v>19</v>
      </c>
      <c r="I19" s="48" t="s">
        <v>20</v>
      </c>
      <c r="J19" s="48" t="s">
        <v>21</v>
      </c>
      <c r="K19" s="51" t="s">
        <v>22</v>
      </c>
      <c r="L19" s="42"/>
      <c r="M19" s="48" t="s">
        <v>23</v>
      </c>
      <c r="N19" s="48" t="s">
        <v>24</v>
      </c>
      <c r="O19" s="48" t="s">
        <v>25</v>
      </c>
      <c r="P19" s="4"/>
      <c r="Q19" s="52" t="s">
        <v>26</v>
      </c>
      <c r="R19" s="53">
        <f>IF(COUNTIF($G$20:$G$384,"meta")&gt;=1,COUNTIF($G$20:$G$384,"meta")+1,COUNTIF($G$20:$G$384,"meta"))</f>
        <v>65</v>
      </c>
      <c r="S19" s="54" t="s">
        <v>27</v>
      </c>
      <c r="T19" s="4"/>
      <c r="U19" s="4"/>
      <c r="V19" s="55" t="s">
        <v>16</v>
      </c>
      <c r="W19" s="5"/>
      <c r="X19" s="55" t="s">
        <v>19</v>
      </c>
      <c r="Y19" s="4"/>
      <c r="Z19" s="4"/>
      <c r="AA19" s="4"/>
    </row>
    <row r="20" ht="21.0" customHeight="1">
      <c r="A20" s="56" t="s">
        <v>28</v>
      </c>
      <c r="B20" s="57">
        <v>1.0</v>
      </c>
      <c r="C20" s="58">
        <f>D8*D12+D8</f>
        <v>3.8304</v>
      </c>
      <c r="D20" s="58">
        <f>C20-$D$8</f>
        <v>0.4104</v>
      </c>
      <c r="E20" s="59">
        <v>0.8</v>
      </c>
      <c r="F20" s="60">
        <f t="shared" ref="F20:F384" si="1">IF(COUNTBLANK(E20)=0,(D20/E20)/$E$19,"-")</f>
        <v>0.513</v>
      </c>
      <c r="G20" s="5" t="str">
        <f t="shared" ref="G20:G384" si="2">IF(COUNTBLANK(H20)=1,IF(C20&lt;=$D$10,"meta","nops"),"")</f>
        <v/>
      </c>
      <c r="H20" s="61">
        <v>4.98</v>
      </c>
      <c r="I20" s="62">
        <f>IF(COUNTBLANK(H20)=1,"",H20-$D$8)</f>
        <v>1.56</v>
      </c>
      <c r="J20" s="62">
        <f t="shared" ref="J20:J384" si="3">IF(I20="","",I20-D20)</f>
        <v>1.1496</v>
      </c>
      <c r="K20" s="63">
        <f>IF(COUNTBLANK(H20)=1,"",(H20-$D$8)/$D$8)</f>
        <v>0.4561403509</v>
      </c>
      <c r="L20" s="64"/>
      <c r="M20" s="65">
        <f t="shared" ref="M20:M83" si="4">D20/$N$17</f>
        <v>0.4717241379</v>
      </c>
      <c r="N20" s="65">
        <f t="shared" ref="N20:N83" si="5">D20+M20/$N$17</f>
        <v>0.9526116528</v>
      </c>
      <c r="O20" s="65">
        <f t="shared" ref="O20:O83" si="6">D20+N20/$N$17</f>
        <v>1.505355923</v>
      </c>
      <c r="P20" s="4"/>
      <c r="Q20" s="66"/>
      <c r="R20" s="66"/>
      <c r="S20" s="66"/>
      <c r="T20" s="4"/>
      <c r="U20" s="4"/>
      <c r="V20" s="8">
        <f>(D8*D12)+D8</f>
        <v>3.8304</v>
      </c>
      <c r="W20" s="5" t="str">
        <f t="shared" ref="W20:W384" si="7">IF(COUNTBLANK(X20)=1,IF(V20&lt;=$D$10,"meta","nops"),"")</f>
        <v>meta</v>
      </c>
      <c r="X20" s="67"/>
      <c r="Y20" s="4"/>
      <c r="Z20" s="4"/>
      <c r="AA20" s="4"/>
    </row>
    <row r="21" ht="19.5" customHeight="1">
      <c r="A21" s="56" t="s">
        <v>28</v>
      </c>
      <c r="B21" s="57">
        <v>2.0</v>
      </c>
      <c r="C21" s="58">
        <f t="shared" ref="C21:C384" si="8">IF(COUNTBLANK(H20)=1,(C20*$D$12)+C20,(H20*$D$12)+H20)</f>
        <v>5.5776</v>
      </c>
      <c r="D21" s="58">
        <f t="shared" ref="D21:D384" si="9">IF(COUNTBLANK(H20)=1,C21-C20,C21-H20)</f>
        <v>0.5976</v>
      </c>
      <c r="E21" s="59"/>
      <c r="F21" s="60" t="str">
        <f t="shared" si="1"/>
        <v>-</v>
      </c>
      <c r="G21" s="5" t="str">
        <f t="shared" si="2"/>
        <v/>
      </c>
      <c r="H21" s="61">
        <v>6.36</v>
      </c>
      <c r="I21" s="62">
        <f t="shared" ref="I21:I384" si="10">IF(COUNTBLANK(H21)=1,"",H21-H20)</f>
        <v>1.38</v>
      </c>
      <c r="J21" s="62">
        <f t="shared" si="3"/>
        <v>0.7824</v>
      </c>
      <c r="K21" s="68">
        <f t="shared" ref="K21:K384" si="11">IF(COUNTBLANK(H21)=1,"",(H21-H20)/H20)</f>
        <v>0.2771084337</v>
      </c>
      <c r="L21" s="64"/>
      <c r="M21" s="65">
        <f t="shared" si="4"/>
        <v>0.6868965517</v>
      </c>
      <c r="N21" s="65">
        <f t="shared" si="5"/>
        <v>1.387136266</v>
      </c>
      <c r="O21" s="65">
        <f t="shared" si="6"/>
        <v>2.192009502</v>
      </c>
      <c r="P21" s="4"/>
      <c r="Q21" s="44" t="s">
        <v>29</v>
      </c>
      <c r="T21" s="4"/>
      <c r="U21" s="4"/>
      <c r="V21" s="8">
        <f t="shared" ref="V21:V384" si="12">IF(COUNTBLANK(X20)=1,(V20*$D$12)+V20,(X20*$D$12)+X20)</f>
        <v>4.290048</v>
      </c>
      <c r="W21" s="5" t="str">
        <f t="shared" si="7"/>
        <v>meta</v>
      </c>
      <c r="X21" s="67"/>
      <c r="Y21" s="4"/>
      <c r="Z21" s="4"/>
      <c r="AA21" s="4"/>
    </row>
    <row r="22" ht="19.5" customHeight="1">
      <c r="A22" s="56" t="s">
        <v>28</v>
      </c>
      <c r="B22" s="57">
        <v>3.0</v>
      </c>
      <c r="C22" s="58">
        <f t="shared" si="8"/>
        <v>7.1232</v>
      </c>
      <c r="D22" s="58">
        <f t="shared" si="9"/>
        <v>0.7632</v>
      </c>
      <c r="E22" s="59"/>
      <c r="F22" s="60" t="str">
        <f t="shared" si="1"/>
        <v>-</v>
      </c>
      <c r="G22" s="5" t="str">
        <f t="shared" si="2"/>
        <v>meta</v>
      </c>
      <c r="H22" s="69"/>
      <c r="I22" s="70" t="str">
        <f t="shared" si="10"/>
        <v/>
      </c>
      <c r="J22" s="62" t="str">
        <f t="shared" si="3"/>
        <v/>
      </c>
      <c r="K22" s="68" t="str">
        <f t="shared" si="11"/>
        <v/>
      </c>
      <c r="L22" s="64"/>
      <c r="M22" s="65">
        <f t="shared" si="4"/>
        <v>0.8772413793</v>
      </c>
      <c r="N22" s="65">
        <f t="shared" si="5"/>
        <v>1.771523424</v>
      </c>
      <c r="O22" s="65">
        <f t="shared" si="6"/>
        <v>2.799433821</v>
      </c>
      <c r="P22" s="4"/>
      <c r="Q22" s="71">
        <f>(($Q$23+$D$8)-$D$8)/$D$8</f>
        <v>0.8596491228</v>
      </c>
      <c r="R22" s="72" t="s">
        <v>30</v>
      </c>
      <c r="S22" s="73" t="str">
        <f>CONCATENATE(COUNT($K$20:$K$384)," dia(s)")</f>
        <v>2 dia(s)</v>
      </c>
      <c r="T22" s="4"/>
      <c r="U22" s="4"/>
      <c r="V22" s="8">
        <f t="shared" si="12"/>
        <v>4.80485376</v>
      </c>
      <c r="W22" s="5" t="str">
        <f t="shared" si="7"/>
        <v>meta</v>
      </c>
      <c r="X22" s="67"/>
      <c r="Y22" s="4"/>
      <c r="Z22" s="4"/>
      <c r="AA22" s="4"/>
    </row>
    <row r="23" ht="21.75" customHeight="1">
      <c r="A23" s="56" t="s">
        <v>28</v>
      </c>
      <c r="B23" s="57">
        <v>4.0</v>
      </c>
      <c r="C23" s="58">
        <f t="shared" si="8"/>
        <v>7.977984</v>
      </c>
      <c r="D23" s="58">
        <f t="shared" si="9"/>
        <v>0.854784</v>
      </c>
      <c r="E23" s="59"/>
      <c r="F23" s="60" t="str">
        <f t="shared" si="1"/>
        <v>-</v>
      </c>
      <c r="G23" s="5" t="str">
        <f t="shared" si="2"/>
        <v>meta</v>
      </c>
      <c r="H23" s="61"/>
      <c r="I23" s="62" t="str">
        <f t="shared" si="10"/>
        <v/>
      </c>
      <c r="J23" s="62" t="str">
        <f t="shared" si="3"/>
        <v/>
      </c>
      <c r="K23" s="68" t="str">
        <f t="shared" si="11"/>
        <v/>
      </c>
      <c r="L23" s="64"/>
      <c r="M23" s="65">
        <f t="shared" si="4"/>
        <v>0.9825103448</v>
      </c>
      <c r="N23" s="65">
        <f t="shared" si="5"/>
        <v>1.984106235</v>
      </c>
      <c r="O23" s="65">
        <f t="shared" si="6"/>
        <v>3.13536588</v>
      </c>
      <c r="P23" s="4"/>
      <c r="Q23" s="74">
        <f>SUM($I$20:$I$384)</f>
        <v>2.94</v>
      </c>
      <c r="R23" s="75"/>
      <c r="S23" s="76"/>
      <c r="T23" s="77">
        <f>COUNT($K$20:$K$384)</f>
        <v>2</v>
      </c>
      <c r="U23" s="4"/>
      <c r="V23" s="8">
        <f t="shared" si="12"/>
        <v>5.381436211</v>
      </c>
      <c r="W23" s="5" t="str">
        <f t="shared" si="7"/>
        <v>meta</v>
      </c>
      <c r="X23" s="67"/>
      <c r="Y23" s="4"/>
      <c r="Z23" s="4"/>
      <c r="AA23" s="4"/>
    </row>
    <row r="24" ht="18.75" customHeight="1">
      <c r="A24" s="56" t="s">
        <v>28</v>
      </c>
      <c r="B24" s="57">
        <v>5.0</v>
      </c>
      <c r="C24" s="58">
        <f t="shared" si="8"/>
        <v>8.93534208</v>
      </c>
      <c r="D24" s="58">
        <f t="shared" si="9"/>
        <v>0.95735808</v>
      </c>
      <c r="E24" s="59"/>
      <c r="F24" s="60" t="str">
        <f t="shared" si="1"/>
        <v>-</v>
      </c>
      <c r="G24" s="5" t="str">
        <f t="shared" si="2"/>
        <v>meta</v>
      </c>
      <c r="H24" s="61"/>
      <c r="I24" s="62" t="str">
        <f t="shared" si="10"/>
        <v/>
      </c>
      <c r="J24" s="62" t="str">
        <f t="shared" si="3"/>
        <v/>
      </c>
      <c r="K24" s="68" t="str">
        <f t="shared" si="11"/>
        <v/>
      </c>
      <c r="L24" s="64"/>
      <c r="M24" s="65">
        <f t="shared" si="4"/>
        <v>1.100411586</v>
      </c>
      <c r="N24" s="65">
        <f t="shared" si="5"/>
        <v>2.222198984</v>
      </c>
      <c r="O24" s="65">
        <f t="shared" si="6"/>
        <v>3.511609785</v>
      </c>
      <c r="P24" s="4"/>
      <c r="Q24" s="4"/>
      <c r="R24" s="4"/>
      <c r="S24" s="4"/>
      <c r="T24" s="4"/>
      <c r="U24" s="6"/>
      <c r="V24" s="8">
        <f t="shared" si="12"/>
        <v>6.027208557</v>
      </c>
      <c r="W24" s="5" t="str">
        <f t="shared" si="7"/>
        <v>meta</v>
      </c>
      <c r="X24" s="67"/>
      <c r="Y24" s="4"/>
      <c r="Z24" s="4"/>
      <c r="AA24" s="4"/>
    </row>
    <row r="25" ht="18.75" customHeight="1">
      <c r="A25" s="56" t="s">
        <v>28</v>
      </c>
      <c r="B25" s="57">
        <v>6.0</v>
      </c>
      <c r="C25" s="58">
        <f t="shared" si="8"/>
        <v>10.00758313</v>
      </c>
      <c r="D25" s="58">
        <f t="shared" si="9"/>
        <v>1.07224105</v>
      </c>
      <c r="E25" s="59"/>
      <c r="F25" s="60" t="str">
        <f t="shared" si="1"/>
        <v>-</v>
      </c>
      <c r="G25" s="5" t="str">
        <f t="shared" si="2"/>
        <v>meta</v>
      </c>
      <c r="H25" s="61"/>
      <c r="I25" s="62" t="str">
        <f t="shared" si="10"/>
        <v/>
      </c>
      <c r="J25" s="62" t="str">
        <f t="shared" si="3"/>
        <v/>
      </c>
      <c r="K25" s="68" t="str">
        <f t="shared" si="11"/>
        <v/>
      </c>
      <c r="L25" s="64"/>
      <c r="M25" s="65">
        <f t="shared" si="4"/>
        <v>1.232460977</v>
      </c>
      <c r="N25" s="65">
        <f t="shared" si="5"/>
        <v>2.488862862</v>
      </c>
      <c r="O25" s="65">
        <f t="shared" si="6"/>
        <v>3.93300296</v>
      </c>
      <c r="P25" s="4"/>
      <c r="Q25" s="44" t="s">
        <v>31</v>
      </c>
      <c r="T25" s="4"/>
      <c r="U25" s="78"/>
      <c r="V25" s="8">
        <f t="shared" si="12"/>
        <v>6.750473583</v>
      </c>
      <c r="W25" s="5" t="str">
        <f t="shared" si="7"/>
        <v>meta</v>
      </c>
      <c r="X25" s="67"/>
      <c r="Y25" s="4"/>
      <c r="Z25" s="4"/>
      <c r="AA25" s="4"/>
    </row>
    <row r="26" ht="21.0" customHeight="1">
      <c r="A26" s="56" t="s">
        <v>28</v>
      </c>
      <c r="B26" s="57">
        <v>7.0</v>
      </c>
      <c r="C26" s="58">
        <f t="shared" si="8"/>
        <v>11.20849311</v>
      </c>
      <c r="D26" s="58">
        <f t="shared" si="9"/>
        <v>1.200909976</v>
      </c>
      <c r="E26" s="59"/>
      <c r="F26" s="60" t="str">
        <f t="shared" si="1"/>
        <v>-</v>
      </c>
      <c r="G26" s="5" t="str">
        <f t="shared" si="2"/>
        <v>meta</v>
      </c>
      <c r="H26" s="61"/>
      <c r="I26" s="62" t="str">
        <f t="shared" si="10"/>
        <v/>
      </c>
      <c r="J26" s="62" t="str">
        <f t="shared" si="3"/>
        <v/>
      </c>
      <c r="K26" s="68" t="str">
        <f t="shared" si="11"/>
        <v/>
      </c>
      <c r="L26" s="64"/>
      <c r="M26" s="65">
        <f t="shared" si="4"/>
        <v>1.380356294</v>
      </c>
      <c r="N26" s="65">
        <f t="shared" si="5"/>
        <v>2.787526405</v>
      </c>
      <c r="O26" s="65">
        <f t="shared" si="6"/>
        <v>4.404963315</v>
      </c>
      <c r="P26" s="4"/>
      <c r="Q26" s="79">
        <f>IFERROR($Q$22/$T$23,0)</f>
        <v>0.4298245614</v>
      </c>
      <c r="R26" s="80" t="s">
        <v>30</v>
      </c>
      <c r="S26" s="81" t="str">
        <f>CONCATENATE(COUNT($K$20:$K$384)," dia(s)")</f>
        <v>2 dia(s)</v>
      </c>
      <c r="T26" s="4"/>
      <c r="U26" s="4"/>
      <c r="V26" s="8">
        <f t="shared" si="12"/>
        <v>7.560530413</v>
      </c>
      <c r="W26" s="5" t="str">
        <f t="shared" si="7"/>
        <v>meta</v>
      </c>
      <c r="X26" s="67"/>
      <c r="Y26" s="4"/>
      <c r="Z26" s="4"/>
      <c r="AA26" s="4"/>
    </row>
    <row r="27" ht="21.0" customHeight="1">
      <c r="A27" s="56" t="s">
        <v>28</v>
      </c>
      <c r="B27" s="57">
        <v>8.0</v>
      </c>
      <c r="C27" s="58">
        <f t="shared" si="8"/>
        <v>12.55351228</v>
      </c>
      <c r="D27" s="58">
        <f t="shared" si="9"/>
        <v>1.345019173</v>
      </c>
      <c r="E27" s="59"/>
      <c r="F27" s="60" t="str">
        <f t="shared" si="1"/>
        <v>-</v>
      </c>
      <c r="G27" s="5" t="str">
        <f t="shared" si="2"/>
        <v>meta</v>
      </c>
      <c r="H27" s="61"/>
      <c r="I27" s="62" t="str">
        <f t="shared" si="10"/>
        <v/>
      </c>
      <c r="J27" s="62" t="str">
        <f t="shared" si="3"/>
        <v/>
      </c>
      <c r="K27" s="68" t="str">
        <f t="shared" si="11"/>
        <v/>
      </c>
      <c r="L27" s="64"/>
      <c r="M27" s="65">
        <f t="shared" si="4"/>
        <v>1.545999049</v>
      </c>
      <c r="N27" s="65">
        <f t="shared" si="5"/>
        <v>3.122029574</v>
      </c>
      <c r="O27" s="65">
        <f t="shared" si="6"/>
        <v>4.933558913</v>
      </c>
      <c r="P27" s="4"/>
      <c r="Q27" s="66"/>
      <c r="R27" s="66"/>
      <c r="S27" s="82"/>
      <c r="T27" s="4"/>
      <c r="U27" s="4"/>
      <c r="V27" s="8">
        <f t="shared" si="12"/>
        <v>8.467794063</v>
      </c>
      <c r="W27" s="5" t="str">
        <f t="shared" si="7"/>
        <v>meta</v>
      </c>
      <c r="X27" s="67"/>
      <c r="Y27" s="4"/>
      <c r="Z27" s="4"/>
      <c r="AA27" s="4"/>
    </row>
    <row r="28" ht="19.5" customHeight="1">
      <c r="A28" s="56" t="s">
        <v>28</v>
      </c>
      <c r="B28" s="57">
        <v>9.0</v>
      </c>
      <c r="C28" s="58">
        <f t="shared" si="8"/>
        <v>14.05993375</v>
      </c>
      <c r="D28" s="58">
        <f t="shared" si="9"/>
        <v>1.506421473</v>
      </c>
      <c r="E28" s="59"/>
      <c r="F28" s="60" t="str">
        <f t="shared" si="1"/>
        <v>-</v>
      </c>
      <c r="G28" s="5" t="str">
        <f t="shared" si="2"/>
        <v>meta</v>
      </c>
      <c r="H28" s="61"/>
      <c r="I28" s="62" t="str">
        <f t="shared" si="10"/>
        <v/>
      </c>
      <c r="J28" s="62" t="str">
        <f t="shared" si="3"/>
        <v/>
      </c>
      <c r="K28" s="68" t="str">
        <f t="shared" si="11"/>
        <v/>
      </c>
      <c r="L28" s="64"/>
      <c r="M28" s="65">
        <f t="shared" si="4"/>
        <v>1.731518935</v>
      </c>
      <c r="N28" s="65">
        <f t="shared" si="5"/>
        <v>3.496673123</v>
      </c>
      <c r="O28" s="65">
        <f t="shared" si="6"/>
        <v>5.525585982</v>
      </c>
      <c r="P28" s="4"/>
      <c r="Q28" s="4"/>
      <c r="R28" s="4"/>
      <c r="S28" s="4"/>
      <c r="T28" s="4"/>
      <c r="U28" s="4"/>
      <c r="V28" s="8">
        <f t="shared" si="12"/>
        <v>9.48392935</v>
      </c>
      <c r="W28" s="5" t="str">
        <f t="shared" si="7"/>
        <v>meta</v>
      </c>
      <c r="X28" s="67"/>
      <c r="Y28" s="4"/>
      <c r="Z28" s="4"/>
      <c r="AA28" s="4"/>
    </row>
    <row r="29" ht="19.5" customHeight="1">
      <c r="A29" s="56" t="s">
        <v>28</v>
      </c>
      <c r="B29" s="57">
        <v>10.0</v>
      </c>
      <c r="C29" s="58">
        <f t="shared" si="8"/>
        <v>15.7471258</v>
      </c>
      <c r="D29" s="58">
        <f t="shared" si="9"/>
        <v>1.68719205</v>
      </c>
      <c r="E29" s="59"/>
      <c r="F29" s="60" t="str">
        <f t="shared" si="1"/>
        <v>-</v>
      </c>
      <c r="G29" s="5" t="str">
        <f t="shared" si="2"/>
        <v>meta</v>
      </c>
      <c r="H29" s="61"/>
      <c r="I29" s="62" t="str">
        <f t="shared" si="10"/>
        <v/>
      </c>
      <c r="J29" s="62" t="str">
        <f t="shared" si="3"/>
        <v/>
      </c>
      <c r="K29" s="68" t="str">
        <f t="shared" si="11"/>
        <v/>
      </c>
      <c r="L29" s="64"/>
      <c r="M29" s="65">
        <f t="shared" si="4"/>
        <v>1.939301207</v>
      </c>
      <c r="N29" s="65">
        <f t="shared" si="5"/>
        <v>3.916273897</v>
      </c>
      <c r="O29" s="65">
        <f t="shared" si="6"/>
        <v>6.1886563</v>
      </c>
      <c r="P29" s="4"/>
      <c r="Q29" s="4"/>
      <c r="R29" s="4"/>
      <c r="S29" s="4"/>
      <c r="T29" s="4"/>
      <c r="U29" s="4"/>
      <c r="V29" s="8">
        <f t="shared" si="12"/>
        <v>10.62200087</v>
      </c>
      <c r="W29" s="5" t="str">
        <f t="shared" si="7"/>
        <v>meta</v>
      </c>
      <c r="X29" s="67"/>
      <c r="Y29" s="4"/>
      <c r="Z29" s="4"/>
      <c r="AA29" s="4"/>
    </row>
    <row r="30" ht="19.5" customHeight="1">
      <c r="A30" s="56" t="s">
        <v>28</v>
      </c>
      <c r="B30" s="57">
        <v>11.0</v>
      </c>
      <c r="C30" s="58">
        <f t="shared" si="8"/>
        <v>17.6367809</v>
      </c>
      <c r="D30" s="58">
        <f t="shared" si="9"/>
        <v>1.889655096</v>
      </c>
      <c r="E30" s="59"/>
      <c r="F30" s="60" t="str">
        <f t="shared" si="1"/>
        <v>-</v>
      </c>
      <c r="G30" s="5" t="str">
        <f t="shared" si="2"/>
        <v>meta</v>
      </c>
      <c r="H30" s="61"/>
      <c r="I30" s="62" t="str">
        <f t="shared" si="10"/>
        <v/>
      </c>
      <c r="J30" s="62" t="str">
        <f t="shared" si="3"/>
        <v/>
      </c>
      <c r="K30" s="68" t="str">
        <f t="shared" si="11"/>
        <v/>
      </c>
      <c r="L30" s="64"/>
      <c r="M30" s="65">
        <f t="shared" si="4"/>
        <v>2.172017352</v>
      </c>
      <c r="N30" s="65">
        <f t="shared" si="5"/>
        <v>4.386226765</v>
      </c>
      <c r="O30" s="65">
        <f t="shared" si="6"/>
        <v>6.931295056</v>
      </c>
      <c r="P30" s="4"/>
      <c r="Q30" s="4"/>
      <c r="R30" s="4"/>
      <c r="S30" s="4"/>
      <c r="T30" s="4"/>
      <c r="U30" s="4"/>
      <c r="V30" s="8">
        <f t="shared" si="12"/>
        <v>11.89664098</v>
      </c>
      <c r="W30" s="5" t="str">
        <f t="shared" si="7"/>
        <v>meta</v>
      </c>
      <c r="X30" s="67"/>
      <c r="Y30" s="4"/>
      <c r="Z30" s="4"/>
      <c r="AA30" s="4"/>
    </row>
    <row r="31" ht="19.5" customHeight="1">
      <c r="A31" s="56" t="s">
        <v>28</v>
      </c>
      <c r="B31" s="57">
        <v>12.0</v>
      </c>
      <c r="C31" s="58">
        <f t="shared" si="8"/>
        <v>19.75319461</v>
      </c>
      <c r="D31" s="58">
        <f t="shared" si="9"/>
        <v>2.116413708</v>
      </c>
      <c r="E31" s="59"/>
      <c r="F31" s="60" t="str">
        <f t="shared" si="1"/>
        <v>-</v>
      </c>
      <c r="G31" s="5" t="str">
        <f t="shared" si="2"/>
        <v>meta</v>
      </c>
      <c r="H31" s="61"/>
      <c r="I31" s="62" t="str">
        <f t="shared" si="10"/>
        <v/>
      </c>
      <c r="J31" s="62" t="str">
        <f t="shared" si="3"/>
        <v/>
      </c>
      <c r="K31" s="68" t="str">
        <f t="shared" si="11"/>
        <v/>
      </c>
      <c r="L31" s="64"/>
      <c r="M31" s="65">
        <f t="shared" si="4"/>
        <v>2.432659434</v>
      </c>
      <c r="N31" s="65">
        <f t="shared" si="5"/>
        <v>4.912573977</v>
      </c>
      <c r="O31" s="65">
        <f t="shared" si="6"/>
        <v>7.763050463</v>
      </c>
      <c r="P31" s="4"/>
      <c r="Q31" s="4"/>
      <c r="R31" s="4"/>
      <c r="S31" s="4"/>
      <c r="T31" s="4"/>
      <c r="U31" s="4"/>
      <c r="V31" s="8">
        <f t="shared" si="12"/>
        <v>13.32423789</v>
      </c>
      <c r="W31" s="5" t="str">
        <f t="shared" si="7"/>
        <v>meta</v>
      </c>
      <c r="X31" s="67"/>
      <c r="Y31" s="4"/>
      <c r="Z31" s="4"/>
      <c r="AA31" s="4"/>
    </row>
    <row r="32" ht="19.5" customHeight="1">
      <c r="A32" s="56" t="s">
        <v>28</v>
      </c>
      <c r="B32" s="57">
        <v>13.0</v>
      </c>
      <c r="C32" s="58">
        <f t="shared" si="8"/>
        <v>22.12357796</v>
      </c>
      <c r="D32" s="58">
        <f t="shared" si="9"/>
        <v>2.370383353</v>
      </c>
      <c r="E32" s="59"/>
      <c r="F32" s="60" t="str">
        <f t="shared" si="1"/>
        <v>-</v>
      </c>
      <c r="G32" s="5" t="str">
        <f t="shared" si="2"/>
        <v>meta</v>
      </c>
      <c r="H32" s="83"/>
      <c r="I32" s="62" t="str">
        <f t="shared" si="10"/>
        <v/>
      </c>
      <c r="J32" s="62" t="str">
        <f t="shared" si="3"/>
        <v/>
      </c>
      <c r="K32" s="68" t="str">
        <f t="shared" si="11"/>
        <v/>
      </c>
      <c r="L32" s="64"/>
      <c r="M32" s="65">
        <f t="shared" si="4"/>
        <v>2.724578566</v>
      </c>
      <c r="N32" s="65">
        <f t="shared" si="5"/>
        <v>5.502082854</v>
      </c>
      <c r="O32" s="65">
        <f t="shared" si="6"/>
        <v>8.694616518</v>
      </c>
      <c r="P32" s="4"/>
      <c r="Q32" s="4"/>
      <c r="R32" s="4"/>
      <c r="S32" s="4"/>
      <c r="T32" s="4"/>
      <c r="U32" s="4"/>
      <c r="V32" s="8">
        <f t="shared" si="12"/>
        <v>14.92314644</v>
      </c>
      <c r="W32" s="5" t="str">
        <f t="shared" si="7"/>
        <v>meta</v>
      </c>
      <c r="X32" s="67"/>
      <c r="Y32" s="4"/>
      <c r="Z32" s="4"/>
      <c r="AA32" s="4"/>
    </row>
    <row r="33" ht="19.5" customHeight="1">
      <c r="A33" s="56" t="s">
        <v>28</v>
      </c>
      <c r="B33" s="57">
        <v>14.0</v>
      </c>
      <c r="C33" s="58">
        <f t="shared" si="8"/>
        <v>24.77840731</v>
      </c>
      <c r="D33" s="58">
        <f t="shared" si="9"/>
        <v>2.654829355</v>
      </c>
      <c r="E33" s="59"/>
      <c r="F33" s="60" t="str">
        <f t="shared" si="1"/>
        <v>-</v>
      </c>
      <c r="G33" s="5" t="str">
        <f t="shared" si="2"/>
        <v>meta</v>
      </c>
      <c r="H33" s="83"/>
      <c r="I33" s="62" t="str">
        <f t="shared" si="10"/>
        <v/>
      </c>
      <c r="J33" s="62" t="str">
        <f t="shared" si="3"/>
        <v/>
      </c>
      <c r="K33" s="68" t="str">
        <f t="shared" si="11"/>
        <v/>
      </c>
      <c r="L33" s="64"/>
      <c r="M33" s="65">
        <f t="shared" si="4"/>
        <v>3.051527994</v>
      </c>
      <c r="N33" s="65">
        <f t="shared" si="5"/>
        <v>6.162332796</v>
      </c>
      <c r="O33" s="65">
        <f t="shared" si="6"/>
        <v>9.7379705</v>
      </c>
      <c r="P33" s="4"/>
      <c r="Q33" s="4"/>
      <c r="R33" s="4"/>
      <c r="S33" s="4"/>
      <c r="T33" s="4"/>
      <c r="U33" s="4"/>
      <c r="V33" s="8">
        <f t="shared" si="12"/>
        <v>16.71392401</v>
      </c>
      <c r="W33" s="5" t="str">
        <f t="shared" si="7"/>
        <v>meta</v>
      </c>
      <c r="X33" s="67"/>
      <c r="Y33" s="4"/>
      <c r="Z33" s="4"/>
      <c r="AA33" s="4"/>
    </row>
    <row r="34" ht="19.5" customHeight="1">
      <c r="A34" s="56" t="s">
        <v>28</v>
      </c>
      <c r="B34" s="57">
        <v>15.0</v>
      </c>
      <c r="C34" s="58">
        <f t="shared" si="8"/>
        <v>27.75181619</v>
      </c>
      <c r="D34" s="58">
        <f t="shared" si="9"/>
        <v>2.973408878</v>
      </c>
      <c r="E34" s="59"/>
      <c r="F34" s="60" t="str">
        <f t="shared" si="1"/>
        <v>-</v>
      </c>
      <c r="G34" s="5" t="str">
        <f t="shared" si="2"/>
        <v>meta</v>
      </c>
      <c r="H34" s="83"/>
      <c r="I34" s="62" t="str">
        <f t="shared" si="10"/>
        <v/>
      </c>
      <c r="J34" s="62" t="str">
        <f t="shared" si="3"/>
        <v/>
      </c>
      <c r="K34" s="68" t="str">
        <f t="shared" si="11"/>
        <v/>
      </c>
      <c r="L34" s="64"/>
      <c r="M34" s="65">
        <f t="shared" si="4"/>
        <v>3.417711353</v>
      </c>
      <c r="N34" s="65">
        <f t="shared" si="5"/>
        <v>6.901812732</v>
      </c>
      <c r="O34" s="65">
        <f t="shared" si="6"/>
        <v>10.90652696</v>
      </c>
      <c r="P34" s="4"/>
      <c r="Q34" s="4"/>
      <c r="R34" s="4"/>
      <c r="S34" s="4"/>
      <c r="T34" s="4"/>
      <c r="U34" s="4"/>
      <c r="V34" s="8">
        <f t="shared" si="12"/>
        <v>18.7195949</v>
      </c>
      <c r="W34" s="5" t="str">
        <f t="shared" si="7"/>
        <v>meta</v>
      </c>
      <c r="X34" s="67"/>
      <c r="Y34" s="4"/>
      <c r="Z34" s="4"/>
      <c r="AA34" s="4"/>
    </row>
    <row r="35" ht="19.5" customHeight="1">
      <c r="A35" s="56" t="s">
        <v>28</v>
      </c>
      <c r="B35" s="57">
        <v>16.0</v>
      </c>
      <c r="C35" s="58">
        <f t="shared" si="8"/>
        <v>31.08203413</v>
      </c>
      <c r="D35" s="58">
        <f t="shared" si="9"/>
        <v>3.330217943</v>
      </c>
      <c r="E35" s="59"/>
      <c r="F35" s="60" t="str">
        <f t="shared" si="1"/>
        <v>-</v>
      </c>
      <c r="G35" s="5" t="str">
        <f t="shared" si="2"/>
        <v>meta</v>
      </c>
      <c r="H35" s="83"/>
      <c r="I35" s="62" t="str">
        <f t="shared" si="10"/>
        <v/>
      </c>
      <c r="J35" s="62" t="str">
        <f t="shared" si="3"/>
        <v/>
      </c>
      <c r="K35" s="68" t="str">
        <f t="shared" si="11"/>
        <v/>
      </c>
      <c r="L35" s="64"/>
      <c r="M35" s="65">
        <f t="shared" si="4"/>
        <v>3.827836716</v>
      </c>
      <c r="N35" s="65">
        <f t="shared" si="5"/>
        <v>7.73003026</v>
      </c>
      <c r="O35" s="65">
        <f t="shared" si="6"/>
        <v>12.2153102</v>
      </c>
      <c r="P35" s="4"/>
      <c r="Q35" s="4"/>
      <c r="R35" s="4"/>
      <c r="S35" s="4"/>
      <c r="T35" s="4"/>
      <c r="U35" s="4"/>
      <c r="V35" s="8">
        <f t="shared" si="12"/>
        <v>20.96594628</v>
      </c>
      <c r="W35" s="5" t="str">
        <f t="shared" si="7"/>
        <v>meta</v>
      </c>
      <c r="X35" s="67"/>
      <c r="Y35" s="4"/>
      <c r="Z35" s="4"/>
      <c r="AA35" s="4"/>
    </row>
    <row r="36" ht="19.5" customHeight="1">
      <c r="A36" s="56" t="s">
        <v>28</v>
      </c>
      <c r="B36" s="57">
        <v>17.0</v>
      </c>
      <c r="C36" s="58">
        <f t="shared" si="8"/>
        <v>34.81187823</v>
      </c>
      <c r="D36" s="58">
        <f t="shared" si="9"/>
        <v>3.729844096</v>
      </c>
      <c r="E36" s="59"/>
      <c r="F36" s="60" t="str">
        <f t="shared" si="1"/>
        <v>-</v>
      </c>
      <c r="G36" s="5" t="str">
        <f t="shared" si="2"/>
        <v>meta</v>
      </c>
      <c r="H36" s="83"/>
      <c r="I36" s="62" t="str">
        <f t="shared" si="10"/>
        <v/>
      </c>
      <c r="J36" s="62" t="str">
        <f t="shared" si="3"/>
        <v/>
      </c>
      <c r="K36" s="68" t="str">
        <f t="shared" si="11"/>
        <v/>
      </c>
      <c r="L36" s="64"/>
      <c r="M36" s="65">
        <f t="shared" si="4"/>
        <v>4.287177122</v>
      </c>
      <c r="N36" s="65">
        <f t="shared" si="5"/>
        <v>8.657633891</v>
      </c>
      <c r="O36" s="65">
        <f t="shared" si="6"/>
        <v>13.68114742</v>
      </c>
      <c r="P36" s="4"/>
      <c r="Q36" s="4"/>
      <c r="R36" s="4"/>
      <c r="S36" s="4"/>
      <c r="T36" s="4"/>
      <c r="U36" s="4"/>
      <c r="V36" s="8">
        <f t="shared" si="12"/>
        <v>23.48185984</v>
      </c>
      <c r="W36" s="5" t="str">
        <f t="shared" si="7"/>
        <v>meta</v>
      </c>
      <c r="X36" s="67"/>
      <c r="Y36" s="4"/>
      <c r="Z36" s="4"/>
      <c r="AA36" s="4"/>
    </row>
    <row r="37" ht="19.5" customHeight="1">
      <c r="A37" s="56" t="s">
        <v>28</v>
      </c>
      <c r="B37" s="57">
        <v>18.0</v>
      </c>
      <c r="C37" s="58">
        <f t="shared" si="8"/>
        <v>38.98930362</v>
      </c>
      <c r="D37" s="58">
        <f t="shared" si="9"/>
        <v>4.177425387</v>
      </c>
      <c r="E37" s="59"/>
      <c r="F37" s="60" t="str">
        <f t="shared" si="1"/>
        <v>-</v>
      </c>
      <c r="G37" s="5" t="str">
        <f t="shared" si="2"/>
        <v>meta</v>
      </c>
      <c r="H37" s="83"/>
      <c r="I37" s="62" t="str">
        <f t="shared" si="10"/>
        <v/>
      </c>
      <c r="J37" s="62" t="str">
        <f t="shared" si="3"/>
        <v/>
      </c>
      <c r="K37" s="68" t="str">
        <f t="shared" si="11"/>
        <v/>
      </c>
      <c r="L37" s="64"/>
      <c r="M37" s="65">
        <f t="shared" si="4"/>
        <v>4.801638376</v>
      </c>
      <c r="N37" s="65">
        <f t="shared" si="5"/>
        <v>9.696549958</v>
      </c>
      <c r="O37" s="65">
        <f t="shared" si="6"/>
        <v>15.32288511</v>
      </c>
      <c r="P37" s="4"/>
      <c r="Q37" s="4"/>
      <c r="R37" s="4"/>
      <c r="S37" s="4"/>
      <c r="T37" s="4"/>
      <c r="U37" s="4"/>
      <c r="V37" s="8">
        <f t="shared" si="12"/>
        <v>26.29968302</v>
      </c>
      <c r="W37" s="5" t="str">
        <f t="shared" si="7"/>
        <v>meta</v>
      </c>
      <c r="X37" s="67"/>
      <c r="Y37" s="4"/>
      <c r="Z37" s="4"/>
      <c r="AA37" s="4"/>
    </row>
    <row r="38" ht="19.5" customHeight="1">
      <c r="A38" s="56" t="s">
        <v>28</v>
      </c>
      <c r="B38" s="57">
        <v>19.0</v>
      </c>
      <c r="C38" s="58">
        <f t="shared" si="8"/>
        <v>43.66802005</v>
      </c>
      <c r="D38" s="58">
        <f t="shared" si="9"/>
        <v>4.678716434</v>
      </c>
      <c r="E38" s="59"/>
      <c r="F38" s="60" t="str">
        <f t="shared" si="1"/>
        <v>-</v>
      </c>
      <c r="G38" s="5" t="str">
        <f t="shared" si="2"/>
        <v>meta</v>
      </c>
      <c r="H38" s="83"/>
      <c r="I38" s="62" t="str">
        <f t="shared" si="10"/>
        <v/>
      </c>
      <c r="J38" s="62" t="str">
        <f t="shared" si="3"/>
        <v/>
      </c>
      <c r="K38" s="68" t="str">
        <f t="shared" si="11"/>
        <v/>
      </c>
      <c r="L38" s="64"/>
      <c r="M38" s="65">
        <f t="shared" si="4"/>
        <v>5.377834982</v>
      </c>
      <c r="N38" s="65">
        <f t="shared" si="5"/>
        <v>10.86013595</v>
      </c>
      <c r="O38" s="65">
        <f t="shared" si="6"/>
        <v>17.16163132</v>
      </c>
      <c r="P38" s="4"/>
      <c r="Q38" s="4"/>
      <c r="R38" s="4"/>
      <c r="S38" s="4"/>
      <c r="T38" s="4"/>
      <c r="U38" s="4"/>
      <c r="V38" s="8">
        <f t="shared" si="12"/>
        <v>29.45564498</v>
      </c>
      <c r="W38" s="5" t="str">
        <f t="shared" si="7"/>
        <v>meta</v>
      </c>
      <c r="X38" s="67"/>
      <c r="Y38" s="4"/>
      <c r="Z38" s="4"/>
      <c r="AA38" s="4"/>
    </row>
    <row r="39" ht="19.5" customHeight="1">
      <c r="A39" s="56" t="s">
        <v>28</v>
      </c>
      <c r="B39" s="57">
        <v>20.0</v>
      </c>
      <c r="C39" s="58">
        <f t="shared" si="8"/>
        <v>48.90818246</v>
      </c>
      <c r="D39" s="58">
        <f t="shared" si="9"/>
        <v>5.240162406</v>
      </c>
      <c r="E39" s="59"/>
      <c r="F39" s="60" t="str">
        <f t="shared" si="1"/>
        <v>-</v>
      </c>
      <c r="G39" s="5" t="str">
        <f t="shared" si="2"/>
        <v>meta</v>
      </c>
      <c r="H39" s="83"/>
      <c r="I39" s="62" t="str">
        <f t="shared" si="10"/>
        <v/>
      </c>
      <c r="J39" s="62" t="str">
        <f t="shared" si="3"/>
        <v/>
      </c>
      <c r="K39" s="68" t="str">
        <f t="shared" si="11"/>
        <v/>
      </c>
      <c r="L39" s="64"/>
      <c r="M39" s="65">
        <f t="shared" si="4"/>
        <v>6.023175179</v>
      </c>
      <c r="N39" s="65">
        <f t="shared" si="5"/>
        <v>12.16335227</v>
      </c>
      <c r="O39" s="65">
        <f t="shared" si="6"/>
        <v>19.22102708</v>
      </c>
      <c r="P39" s="4"/>
      <c r="Q39" s="4"/>
      <c r="R39" s="4"/>
      <c r="S39" s="4"/>
      <c r="T39" s="4"/>
      <c r="U39" s="4"/>
      <c r="V39" s="8">
        <f t="shared" si="12"/>
        <v>32.99032238</v>
      </c>
      <c r="W39" s="5" t="str">
        <f t="shared" si="7"/>
        <v>meta</v>
      </c>
      <c r="X39" s="67"/>
      <c r="Y39" s="4"/>
      <c r="Z39" s="4"/>
      <c r="AA39" s="4"/>
    </row>
    <row r="40" ht="19.5" customHeight="1">
      <c r="A40" s="56" t="s">
        <v>28</v>
      </c>
      <c r="B40" s="57">
        <v>21.0</v>
      </c>
      <c r="C40" s="58">
        <f t="shared" si="8"/>
        <v>54.77716435</v>
      </c>
      <c r="D40" s="58">
        <f t="shared" si="9"/>
        <v>5.868981895</v>
      </c>
      <c r="E40" s="59"/>
      <c r="F40" s="60" t="str">
        <f t="shared" si="1"/>
        <v>-</v>
      </c>
      <c r="G40" s="5" t="str">
        <f t="shared" si="2"/>
        <v>meta</v>
      </c>
      <c r="H40" s="83"/>
      <c r="I40" s="62" t="str">
        <f t="shared" si="10"/>
        <v/>
      </c>
      <c r="J40" s="62" t="str">
        <f t="shared" si="3"/>
        <v/>
      </c>
      <c r="K40" s="68" t="str">
        <f t="shared" si="11"/>
        <v/>
      </c>
      <c r="L40" s="64"/>
      <c r="M40" s="65">
        <f t="shared" si="4"/>
        <v>6.745956201</v>
      </c>
      <c r="N40" s="65">
        <f t="shared" si="5"/>
        <v>13.62295454</v>
      </c>
      <c r="O40" s="65">
        <f t="shared" si="6"/>
        <v>21.52755033</v>
      </c>
      <c r="P40" s="4"/>
      <c r="Q40" s="4"/>
      <c r="R40" s="4"/>
      <c r="S40" s="4"/>
      <c r="T40" s="4"/>
      <c r="U40" s="4"/>
      <c r="V40" s="8">
        <f t="shared" si="12"/>
        <v>36.94916106</v>
      </c>
      <c r="W40" s="5" t="str">
        <f t="shared" si="7"/>
        <v>meta</v>
      </c>
      <c r="X40" s="67"/>
      <c r="Y40" s="4"/>
      <c r="Z40" s="4"/>
      <c r="AA40" s="4"/>
    </row>
    <row r="41" ht="19.5" customHeight="1">
      <c r="A41" s="56" t="s">
        <v>28</v>
      </c>
      <c r="B41" s="57">
        <v>22.0</v>
      </c>
      <c r="C41" s="58">
        <f t="shared" si="8"/>
        <v>61.35042407</v>
      </c>
      <c r="D41" s="58">
        <f t="shared" si="9"/>
        <v>6.573259722</v>
      </c>
      <c r="E41" s="59"/>
      <c r="F41" s="60" t="str">
        <f t="shared" si="1"/>
        <v>-</v>
      </c>
      <c r="G41" s="5" t="str">
        <f t="shared" si="2"/>
        <v>meta</v>
      </c>
      <c r="H41" s="83"/>
      <c r="I41" s="62" t="str">
        <f t="shared" si="10"/>
        <v/>
      </c>
      <c r="J41" s="62" t="str">
        <f t="shared" si="3"/>
        <v/>
      </c>
      <c r="K41" s="68" t="str">
        <f t="shared" si="11"/>
        <v/>
      </c>
      <c r="L41" s="64"/>
      <c r="M41" s="65">
        <f t="shared" si="4"/>
        <v>7.555470945</v>
      </c>
      <c r="N41" s="65">
        <f t="shared" si="5"/>
        <v>15.25770908</v>
      </c>
      <c r="O41" s="65">
        <f t="shared" si="6"/>
        <v>24.11085637</v>
      </c>
      <c r="P41" s="4"/>
      <c r="Q41" s="4"/>
      <c r="R41" s="4"/>
      <c r="S41" s="4"/>
      <c r="T41" s="4"/>
      <c r="U41" s="4"/>
      <c r="V41" s="8">
        <f t="shared" si="12"/>
        <v>41.38306039</v>
      </c>
      <c r="W41" s="5" t="str">
        <f t="shared" si="7"/>
        <v>meta</v>
      </c>
      <c r="X41" s="67"/>
      <c r="Y41" s="4"/>
      <c r="Z41" s="4"/>
      <c r="AA41" s="4"/>
    </row>
    <row r="42" ht="19.5" customHeight="1">
      <c r="A42" s="56" t="s">
        <v>28</v>
      </c>
      <c r="B42" s="57">
        <v>23.0</v>
      </c>
      <c r="C42" s="58">
        <f t="shared" si="8"/>
        <v>68.71247496</v>
      </c>
      <c r="D42" s="58">
        <f t="shared" si="9"/>
        <v>7.362050889</v>
      </c>
      <c r="E42" s="59"/>
      <c r="F42" s="60" t="str">
        <f t="shared" si="1"/>
        <v>-</v>
      </c>
      <c r="G42" s="5" t="str">
        <f t="shared" si="2"/>
        <v>meta</v>
      </c>
      <c r="H42" s="83"/>
      <c r="I42" s="62" t="str">
        <f t="shared" si="10"/>
        <v/>
      </c>
      <c r="J42" s="62" t="str">
        <f t="shared" si="3"/>
        <v/>
      </c>
      <c r="K42" s="68" t="str">
        <f t="shared" si="11"/>
        <v/>
      </c>
      <c r="L42" s="64"/>
      <c r="M42" s="65">
        <f t="shared" si="4"/>
        <v>8.462127458</v>
      </c>
      <c r="N42" s="65">
        <f t="shared" si="5"/>
        <v>17.08863417</v>
      </c>
      <c r="O42" s="65">
        <f t="shared" si="6"/>
        <v>27.00415914</v>
      </c>
      <c r="P42" s="4"/>
      <c r="Q42" s="4"/>
      <c r="R42" s="4"/>
      <c r="S42" s="4"/>
      <c r="T42" s="4"/>
      <c r="U42" s="4"/>
      <c r="V42" s="8">
        <f t="shared" si="12"/>
        <v>46.34902764</v>
      </c>
      <c r="W42" s="5" t="str">
        <f t="shared" si="7"/>
        <v>meta</v>
      </c>
      <c r="X42" s="67"/>
      <c r="Y42" s="4"/>
      <c r="Z42" s="4"/>
      <c r="AA42" s="4"/>
    </row>
    <row r="43" ht="19.5" customHeight="1">
      <c r="A43" s="56" t="s">
        <v>28</v>
      </c>
      <c r="B43" s="57">
        <v>24.0</v>
      </c>
      <c r="C43" s="58">
        <f t="shared" si="8"/>
        <v>76.95797196</v>
      </c>
      <c r="D43" s="58">
        <f t="shared" si="9"/>
        <v>8.245496995</v>
      </c>
      <c r="E43" s="59"/>
      <c r="F43" s="60" t="str">
        <f t="shared" si="1"/>
        <v>-</v>
      </c>
      <c r="G43" s="5" t="str">
        <f t="shared" si="2"/>
        <v>meta</v>
      </c>
      <c r="H43" s="83"/>
      <c r="I43" s="62" t="str">
        <f t="shared" si="10"/>
        <v/>
      </c>
      <c r="J43" s="62" t="str">
        <f t="shared" si="3"/>
        <v/>
      </c>
      <c r="K43" s="68" t="str">
        <f t="shared" si="11"/>
        <v/>
      </c>
      <c r="L43" s="64"/>
      <c r="M43" s="65">
        <f t="shared" si="4"/>
        <v>9.477582753</v>
      </c>
      <c r="N43" s="65">
        <f t="shared" si="5"/>
        <v>19.13927028</v>
      </c>
      <c r="O43" s="65">
        <f t="shared" si="6"/>
        <v>30.24465823</v>
      </c>
      <c r="P43" s="4"/>
      <c r="Q43" s="4"/>
      <c r="R43" s="4"/>
      <c r="S43" s="4"/>
      <c r="T43" s="4"/>
      <c r="U43" s="4"/>
      <c r="V43" s="8">
        <f t="shared" si="12"/>
        <v>51.91091096</v>
      </c>
      <c r="W43" s="5" t="str">
        <f t="shared" si="7"/>
        <v>meta</v>
      </c>
      <c r="X43" s="67"/>
      <c r="Y43" s="4"/>
      <c r="Z43" s="4"/>
      <c r="AA43" s="4"/>
    </row>
    <row r="44" ht="19.5" customHeight="1">
      <c r="A44" s="56" t="s">
        <v>28</v>
      </c>
      <c r="B44" s="57">
        <v>25.0</v>
      </c>
      <c r="C44" s="58">
        <f t="shared" si="8"/>
        <v>86.19292859</v>
      </c>
      <c r="D44" s="58">
        <f t="shared" si="9"/>
        <v>9.234956635</v>
      </c>
      <c r="E44" s="59"/>
      <c r="F44" s="60" t="str">
        <f t="shared" si="1"/>
        <v>-</v>
      </c>
      <c r="G44" s="5" t="str">
        <f t="shared" si="2"/>
        <v>meta</v>
      </c>
      <c r="H44" s="83"/>
      <c r="I44" s="62" t="str">
        <f t="shared" si="10"/>
        <v/>
      </c>
      <c r="J44" s="62" t="str">
        <f t="shared" si="3"/>
        <v/>
      </c>
      <c r="K44" s="68" t="str">
        <f t="shared" si="11"/>
        <v/>
      </c>
      <c r="L44" s="64"/>
      <c r="M44" s="65">
        <f t="shared" si="4"/>
        <v>10.61489268</v>
      </c>
      <c r="N44" s="65">
        <f t="shared" si="5"/>
        <v>21.43598271</v>
      </c>
      <c r="O44" s="65">
        <f t="shared" si="6"/>
        <v>33.87401722</v>
      </c>
      <c r="P44" s="4"/>
      <c r="Q44" s="4"/>
      <c r="R44" s="4"/>
      <c r="S44" s="4"/>
      <c r="T44" s="4"/>
      <c r="U44" s="4"/>
      <c r="V44" s="8">
        <f t="shared" si="12"/>
        <v>58.14022027</v>
      </c>
      <c r="W44" s="5" t="str">
        <f t="shared" si="7"/>
        <v>meta</v>
      </c>
      <c r="X44" s="67"/>
      <c r="Y44" s="4"/>
      <c r="Z44" s="4"/>
      <c r="AA44" s="4"/>
    </row>
    <row r="45" ht="19.5" customHeight="1">
      <c r="A45" s="56" t="s">
        <v>28</v>
      </c>
      <c r="B45" s="57">
        <v>26.0</v>
      </c>
      <c r="C45" s="58">
        <f t="shared" si="8"/>
        <v>96.53608002</v>
      </c>
      <c r="D45" s="58">
        <f t="shared" si="9"/>
        <v>10.34315143</v>
      </c>
      <c r="E45" s="59"/>
      <c r="F45" s="60" t="str">
        <f t="shared" si="1"/>
        <v>-</v>
      </c>
      <c r="G45" s="5" t="str">
        <f t="shared" si="2"/>
        <v>meta</v>
      </c>
      <c r="H45" s="83"/>
      <c r="I45" s="62" t="str">
        <f t="shared" si="10"/>
        <v/>
      </c>
      <c r="J45" s="62" t="str">
        <f t="shared" si="3"/>
        <v/>
      </c>
      <c r="K45" s="68" t="str">
        <f t="shared" si="11"/>
        <v/>
      </c>
      <c r="L45" s="64"/>
      <c r="M45" s="65">
        <f t="shared" si="4"/>
        <v>11.88867981</v>
      </c>
      <c r="N45" s="65">
        <f t="shared" si="5"/>
        <v>24.00830063</v>
      </c>
      <c r="O45" s="65">
        <f t="shared" si="6"/>
        <v>37.93889929</v>
      </c>
      <c r="P45" s="4"/>
      <c r="Q45" s="4"/>
      <c r="R45" s="4"/>
      <c r="S45" s="4"/>
      <c r="T45" s="4"/>
      <c r="U45" s="4"/>
      <c r="V45" s="8">
        <f t="shared" si="12"/>
        <v>65.1170467</v>
      </c>
      <c r="W45" s="5" t="str">
        <f t="shared" si="7"/>
        <v>meta</v>
      </c>
      <c r="X45" s="67"/>
      <c r="Y45" s="4"/>
      <c r="Z45" s="4"/>
      <c r="AA45" s="4"/>
    </row>
    <row r="46" ht="19.5" customHeight="1">
      <c r="A46" s="56" t="s">
        <v>28</v>
      </c>
      <c r="B46" s="57">
        <v>27.0</v>
      </c>
      <c r="C46" s="58">
        <f t="shared" si="8"/>
        <v>108.1204096</v>
      </c>
      <c r="D46" s="58">
        <f t="shared" si="9"/>
        <v>11.5843296</v>
      </c>
      <c r="E46" s="59"/>
      <c r="F46" s="60" t="str">
        <f t="shared" si="1"/>
        <v>-</v>
      </c>
      <c r="G46" s="5" t="str">
        <f t="shared" si="2"/>
        <v>meta</v>
      </c>
      <c r="H46" s="83"/>
      <c r="I46" s="62" t="str">
        <f t="shared" si="10"/>
        <v/>
      </c>
      <c r="J46" s="62" t="str">
        <f t="shared" si="3"/>
        <v/>
      </c>
      <c r="K46" s="68" t="str">
        <f t="shared" si="11"/>
        <v/>
      </c>
      <c r="L46" s="64"/>
      <c r="M46" s="65">
        <f t="shared" si="4"/>
        <v>13.31532138</v>
      </c>
      <c r="N46" s="65">
        <f t="shared" si="5"/>
        <v>26.88929671</v>
      </c>
      <c r="O46" s="65">
        <f t="shared" si="6"/>
        <v>42.4915672</v>
      </c>
      <c r="P46" s="4"/>
      <c r="Q46" s="4"/>
      <c r="R46" s="4"/>
      <c r="S46" s="4"/>
      <c r="T46" s="4"/>
      <c r="U46" s="4"/>
      <c r="V46" s="8">
        <f t="shared" si="12"/>
        <v>72.93109231</v>
      </c>
      <c r="W46" s="5" t="str">
        <f t="shared" si="7"/>
        <v>meta</v>
      </c>
      <c r="X46" s="67"/>
      <c r="Y46" s="4"/>
      <c r="Z46" s="4"/>
      <c r="AA46" s="4"/>
    </row>
    <row r="47" ht="19.5" customHeight="1">
      <c r="A47" s="56" t="s">
        <v>28</v>
      </c>
      <c r="B47" s="57">
        <v>28.0</v>
      </c>
      <c r="C47" s="58">
        <f t="shared" si="8"/>
        <v>121.0948588</v>
      </c>
      <c r="D47" s="58">
        <f t="shared" si="9"/>
        <v>12.97444916</v>
      </c>
      <c r="E47" s="59"/>
      <c r="F47" s="60" t="str">
        <f t="shared" si="1"/>
        <v>-</v>
      </c>
      <c r="G47" s="5" t="str">
        <f t="shared" si="2"/>
        <v>meta</v>
      </c>
      <c r="H47" s="83"/>
      <c r="I47" s="62" t="str">
        <f t="shared" si="10"/>
        <v/>
      </c>
      <c r="J47" s="62" t="str">
        <f t="shared" si="3"/>
        <v/>
      </c>
      <c r="K47" s="68" t="str">
        <f t="shared" si="11"/>
        <v/>
      </c>
      <c r="L47" s="64"/>
      <c r="M47" s="65">
        <f t="shared" si="4"/>
        <v>14.91315995</v>
      </c>
      <c r="N47" s="65">
        <f t="shared" si="5"/>
        <v>30.11601231</v>
      </c>
      <c r="O47" s="65">
        <f t="shared" si="6"/>
        <v>47.59055526</v>
      </c>
      <c r="P47" s="4"/>
      <c r="Q47" s="4"/>
      <c r="R47" s="4"/>
      <c r="S47" s="4"/>
      <c r="T47" s="4"/>
      <c r="U47" s="4"/>
      <c r="V47" s="8">
        <f t="shared" si="12"/>
        <v>81.68282338</v>
      </c>
      <c r="W47" s="5" t="str">
        <f t="shared" si="7"/>
        <v>meta</v>
      </c>
      <c r="X47" s="67"/>
      <c r="Y47" s="4"/>
      <c r="Z47" s="4"/>
      <c r="AA47" s="4"/>
    </row>
    <row r="48" ht="19.5" customHeight="1">
      <c r="A48" s="56" t="s">
        <v>28</v>
      </c>
      <c r="B48" s="57">
        <v>29.0</v>
      </c>
      <c r="C48" s="58">
        <f t="shared" si="8"/>
        <v>135.6262418</v>
      </c>
      <c r="D48" s="58">
        <f t="shared" si="9"/>
        <v>14.53138305</v>
      </c>
      <c r="E48" s="59"/>
      <c r="F48" s="60" t="str">
        <f t="shared" si="1"/>
        <v>-</v>
      </c>
      <c r="G48" s="5" t="str">
        <f t="shared" si="2"/>
        <v>meta</v>
      </c>
      <c r="H48" s="83"/>
      <c r="I48" s="62" t="str">
        <f t="shared" si="10"/>
        <v/>
      </c>
      <c r="J48" s="62" t="str">
        <f t="shared" si="3"/>
        <v/>
      </c>
      <c r="K48" s="68" t="str">
        <f t="shared" si="11"/>
        <v/>
      </c>
      <c r="L48" s="64"/>
      <c r="M48" s="65">
        <f t="shared" si="4"/>
        <v>16.70273914</v>
      </c>
      <c r="N48" s="65">
        <f t="shared" si="5"/>
        <v>33.72993379</v>
      </c>
      <c r="O48" s="65">
        <f t="shared" si="6"/>
        <v>53.3014219</v>
      </c>
      <c r="P48" s="4"/>
      <c r="Q48" s="4"/>
      <c r="R48" s="4"/>
      <c r="S48" s="4"/>
      <c r="T48" s="4"/>
      <c r="U48" s="4"/>
      <c r="V48" s="8">
        <f t="shared" si="12"/>
        <v>91.48476219</v>
      </c>
      <c r="W48" s="5" t="str">
        <f t="shared" si="7"/>
        <v>meta</v>
      </c>
      <c r="X48" s="67"/>
      <c r="Y48" s="4"/>
      <c r="Z48" s="4"/>
      <c r="AA48" s="4"/>
    </row>
    <row r="49" ht="19.5" customHeight="1">
      <c r="A49" s="56" t="s">
        <v>28</v>
      </c>
      <c r="B49" s="57">
        <v>30.0</v>
      </c>
      <c r="C49" s="58">
        <f t="shared" si="8"/>
        <v>151.9013909</v>
      </c>
      <c r="D49" s="58">
        <f t="shared" si="9"/>
        <v>16.27514902</v>
      </c>
      <c r="E49" s="59"/>
      <c r="F49" s="60" t="str">
        <f t="shared" si="1"/>
        <v>-</v>
      </c>
      <c r="G49" s="5" t="str">
        <f t="shared" si="2"/>
        <v>meta</v>
      </c>
      <c r="H49" s="83"/>
      <c r="I49" s="62" t="str">
        <f t="shared" si="10"/>
        <v/>
      </c>
      <c r="J49" s="62" t="str">
        <f t="shared" si="3"/>
        <v/>
      </c>
      <c r="K49" s="68" t="str">
        <f t="shared" si="11"/>
        <v/>
      </c>
      <c r="L49" s="64"/>
      <c r="M49" s="65">
        <f t="shared" si="4"/>
        <v>18.70706784</v>
      </c>
      <c r="N49" s="65">
        <f t="shared" si="5"/>
        <v>37.77752585</v>
      </c>
      <c r="O49" s="65">
        <f t="shared" si="6"/>
        <v>59.69759252</v>
      </c>
      <c r="P49" s="4"/>
      <c r="Q49" s="4"/>
      <c r="R49" s="4"/>
      <c r="S49" s="4"/>
      <c r="T49" s="4"/>
      <c r="U49" s="4"/>
      <c r="V49" s="8">
        <f t="shared" si="12"/>
        <v>102.4629337</v>
      </c>
      <c r="W49" s="5" t="str">
        <f t="shared" si="7"/>
        <v>meta</v>
      </c>
      <c r="X49" s="67"/>
      <c r="Y49" s="4"/>
      <c r="Z49" s="4"/>
      <c r="AA49" s="4"/>
    </row>
    <row r="50" ht="19.5" customHeight="1">
      <c r="A50" s="56" t="s">
        <v>28</v>
      </c>
      <c r="B50" s="57">
        <v>31.0</v>
      </c>
      <c r="C50" s="58">
        <f t="shared" si="8"/>
        <v>170.1295578</v>
      </c>
      <c r="D50" s="58">
        <f t="shared" si="9"/>
        <v>18.2281669</v>
      </c>
      <c r="E50" s="59"/>
      <c r="F50" s="60" t="str">
        <f t="shared" si="1"/>
        <v>-</v>
      </c>
      <c r="G50" s="5" t="str">
        <f t="shared" si="2"/>
        <v>meta</v>
      </c>
      <c r="H50" s="83"/>
      <c r="I50" s="62" t="str">
        <f t="shared" si="10"/>
        <v/>
      </c>
      <c r="J50" s="62" t="str">
        <f t="shared" si="3"/>
        <v/>
      </c>
      <c r="K50" s="68" t="str">
        <f t="shared" si="11"/>
        <v/>
      </c>
      <c r="L50" s="64"/>
      <c r="M50" s="65">
        <f t="shared" si="4"/>
        <v>20.95191598</v>
      </c>
      <c r="N50" s="65">
        <f t="shared" si="5"/>
        <v>42.31082895</v>
      </c>
      <c r="O50" s="65">
        <f t="shared" si="6"/>
        <v>66.86130363</v>
      </c>
      <c r="P50" s="4"/>
      <c r="Q50" s="4"/>
      <c r="R50" s="4"/>
      <c r="S50" s="4"/>
      <c r="T50" s="4"/>
      <c r="U50" s="4"/>
      <c r="V50" s="8">
        <f t="shared" si="12"/>
        <v>114.7584857</v>
      </c>
      <c r="W50" s="5" t="str">
        <f t="shared" si="7"/>
        <v>meta</v>
      </c>
      <c r="X50" s="67"/>
      <c r="Y50" s="4"/>
      <c r="Z50" s="4"/>
      <c r="AA50" s="4"/>
    </row>
    <row r="51" ht="19.5" customHeight="1">
      <c r="A51" s="56" t="s">
        <v>28</v>
      </c>
      <c r="B51" s="57">
        <v>32.0</v>
      </c>
      <c r="C51" s="58">
        <f t="shared" si="8"/>
        <v>190.5451047</v>
      </c>
      <c r="D51" s="58">
        <f t="shared" si="9"/>
        <v>20.41554693</v>
      </c>
      <c r="E51" s="59"/>
      <c r="F51" s="60" t="str">
        <f t="shared" si="1"/>
        <v>-</v>
      </c>
      <c r="G51" s="5" t="str">
        <f t="shared" si="2"/>
        <v>meta</v>
      </c>
      <c r="H51" s="83"/>
      <c r="I51" s="62" t="str">
        <f t="shared" si="10"/>
        <v/>
      </c>
      <c r="J51" s="62" t="str">
        <f t="shared" si="3"/>
        <v/>
      </c>
      <c r="K51" s="68" t="str">
        <f t="shared" si="11"/>
        <v/>
      </c>
      <c r="L51" s="64"/>
      <c r="M51" s="65">
        <f t="shared" si="4"/>
        <v>23.4661459</v>
      </c>
      <c r="N51" s="65">
        <f t="shared" si="5"/>
        <v>47.38812842</v>
      </c>
      <c r="O51" s="65">
        <f t="shared" si="6"/>
        <v>74.88466006</v>
      </c>
      <c r="P51" s="4"/>
      <c r="Q51" s="4"/>
      <c r="R51" s="4"/>
      <c r="S51" s="4"/>
      <c r="T51" s="4"/>
      <c r="U51" s="4"/>
      <c r="V51" s="8">
        <f t="shared" si="12"/>
        <v>128.529504</v>
      </c>
      <c r="W51" s="5" t="str">
        <f t="shared" si="7"/>
        <v>meta</v>
      </c>
      <c r="X51" s="67"/>
      <c r="Y51" s="4"/>
      <c r="Z51" s="4"/>
      <c r="AA51" s="4"/>
    </row>
    <row r="52" ht="19.5" customHeight="1">
      <c r="A52" s="56" t="s">
        <v>28</v>
      </c>
      <c r="B52" s="57">
        <v>33.0</v>
      </c>
      <c r="C52" s="58">
        <f t="shared" si="8"/>
        <v>213.4105173</v>
      </c>
      <c r="D52" s="58">
        <f t="shared" si="9"/>
        <v>22.86541256</v>
      </c>
      <c r="E52" s="59"/>
      <c r="F52" s="60" t="str">
        <f t="shared" si="1"/>
        <v>-</v>
      </c>
      <c r="G52" s="5" t="str">
        <f t="shared" si="2"/>
        <v>meta</v>
      </c>
      <c r="H52" s="83"/>
      <c r="I52" s="62" t="str">
        <f t="shared" si="10"/>
        <v/>
      </c>
      <c r="J52" s="62" t="str">
        <f t="shared" si="3"/>
        <v/>
      </c>
      <c r="K52" s="68" t="str">
        <f t="shared" si="11"/>
        <v/>
      </c>
      <c r="L52" s="64"/>
      <c r="M52" s="65">
        <f t="shared" si="4"/>
        <v>26.28208341</v>
      </c>
      <c r="N52" s="65">
        <f t="shared" si="5"/>
        <v>53.07470383</v>
      </c>
      <c r="O52" s="65">
        <f t="shared" si="6"/>
        <v>83.87081927</v>
      </c>
      <c r="P52" s="4"/>
      <c r="Q52" s="4"/>
      <c r="R52" s="4"/>
      <c r="S52" s="4"/>
      <c r="T52" s="4"/>
      <c r="U52" s="4"/>
      <c r="V52" s="8">
        <f t="shared" si="12"/>
        <v>143.9530445</v>
      </c>
      <c r="W52" s="5" t="str">
        <f t="shared" si="7"/>
        <v>meta</v>
      </c>
      <c r="X52" s="67"/>
      <c r="Y52" s="4"/>
      <c r="Z52" s="4"/>
      <c r="AA52" s="4"/>
    </row>
    <row r="53" ht="19.5" customHeight="1">
      <c r="A53" s="56" t="s">
        <v>28</v>
      </c>
      <c r="B53" s="57">
        <v>34.0</v>
      </c>
      <c r="C53" s="58">
        <f t="shared" si="8"/>
        <v>239.0197793</v>
      </c>
      <c r="D53" s="58">
        <f t="shared" si="9"/>
        <v>25.60926207</v>
      </c>
      <c r="E53" s="59"/>
      <c r="F53" s="60" t="str">
        <f t="shared" si="1"/>
        <v>-</v>
      </c>
      <c r="G53" s="5" t="str">
        <f t="shared" si="2"/>
        <v>meta</v>
      </c>
      <c r="H53" s="83"/>
      <c r="I53" s="62" t="str">
        <f t="shared" si="10"/>
        <v/>
      </c>
      <c r="J53" s="62" t="str">
        <f t="shared" si="3"/>
        <v/>
      </c>
      <c r="K53" s="68" t="str">
        <f t="shared" si="11"/>
        <v/>
      </c>
      <c r="L53" s="64"/>
      <c r="M53" s="65">
        <f t="shared" si="4"/>
        <v>29.43593341</v>
      </c>
      <c r="N53" s="65">
        <f t="shared" si="5"/>
        <v>59.44366829</v>
      </c>
      <c r="O53" s="65">
        <f t="shared" si="6"/>
        <v>93.93531758</v>
      </c>
      <c r="P53" s="4"/>
      <c r="Q53" s="4"/>
      <c r="R53" s="4"/>
      <c r="S53" s="4"/>
      <c r="T53" s="4"/>
      <c r="U53" s="4"/>
      <c r="V53" s="8">
        <f t="shared" si="12"/>
        <v>161.2274098</v>
      </c>
      <c r="W53" s="5" t="str">
        <f t="shared" si="7"/>
        <v>meta</v>
      </c>
      <c r="X53" s="67"/>
      <c r="Y53" s="4"/>
      <c r="Z53" s="4"/>
      <c r="AA53" s="4"/>
    </row>
    <row r="54" ht="19.5" customHeight="1">
      <c r="A54" s="56" t="s">
        <v>28</v>
      </c>
      <c r="B54" s="57">
        <v>35.0</v>
      </c>
      <c r="C54" s="58">
        <f t="shared" si="8"/>
        <v>267.7021528</v>
      </c>
      <c r="D54" s="58">
        <f t="shared" si="9"/>
        <v>28.68237352</v>
      </c>
      <c r="E54" s="59"/>
      <c r="F54" s="60" t="str">
        <f t="shared" si="1"/>
        <v>-</v>
      </c>
      <c r="G54" s="5" t="str">
        <f t="shared" si="2"/>
        <v>meta</v>
      </c>
      <c r="H54" s="83"/>
      <c r="I54" s="62" t="str">
        <f t="shared" si="10"/>
        <v/>
      </c>
      <c r="J54" s="62" t="str">
        <f t="shared" si="3"/>
        <v/>
      </c>
      <c r="K54" s="68" t="str">
        <f t="shared" si="11"/>
        <v/>
      </c>
      <c r="L54" s="64"/>
      <c r="M54" s="65">
        <f t="shared" si="4"/>
        <v>32.96824542</v>
      </c>
      <c r="N54" s="65">
        <f t="shared" si="5"/>
        <v>66.57690849</v>
      </c>
      <c r="O54" s="65">
        <f t="shared" si="6"/>
        <v>105.2075557</v>
      </c>
      <c r="P54" s="4"/>
      <c r="Q54" s="4"/>
      <c r="R54" s="4"/>
      <c r="S54" s="4"/>
      <c r="T54" s="4"/>
      <c r="U54" s="4"/>
      <c r="V54" s="8">
        <f t="shared" si="12"/>
        <v>180.574699</v>
      </c>
      <c r="W54" s="5" t="str">
        <f t="shared" si="7"/>
        <v>meta</v>
      </c>
      <c r="X54" s="67"/>
      <c r="Y54" s="4"/>
      <c r="Z54" s="4"/>
      <c r="AA54" s="4"/>
    </row>
    <row r="55" ht="19.5" customHeight="1">
      <c r="A55" s="56" t="s">
        <v>28</v>
      </c>
      <c r="B55" s="57">
        <v>36.0</v>
      </c>
      <c r="C55" s="58">
        <f t="shared" si="8"/>
        <v>299.8264112</v>
      </c>
      <c r="D55" s="58">
        <f t="shared" si="9"/>
        <v>32.12425834</v>
      </c>
      <c r="E55" s="59"/>
      <c r="F55" s="60" t="str">
        <f t="shared" si="1"/>
        <v>-</v>
      </c>
      <c r="G55" s="5" t="str">
        <f t="shared" si="2"/>
        <v>meta</v>
      </c>
      <c r="H55" s="83"/>
      <c r="I55" s="62" t="str">
        <f t="shared" si="10"/>
        <v/>
      </c>
      <c r="J55" s="62" t="str">
        <f t="shared" si="3"/>
        <v/>
      </c>
      <c r="K55" s="68" t="str">
        <f t="shared" si="11"/>
        <v/>
      </c>
      <c r="L55" s="64"/>
      <c r="M55" s="65">
        <f t="shared" si="4"/>
        <v>36.92443487</v>
      </c>
      <c r="N55" s="65">
        <f t="shared" si="5"/>
        <v>74.56613751</v>
      </c>
      <c r="O55" s="65">
        <f t="shared" si="6"/>
        <v>117.8324624</v>
      </c>
      <c r="P55" s="4"/>
      <c r="Q55" s="4"/>
      <c r="R55" s="4"/>
      <c r="S55" s="4"/>
      <c r="T55" s="4"/>
      <c r="U55" s="4"/>
      <c r="V55" s="8">
        <f t="shared" si="12"/>
        <v>202.2436628</v>
      </c>
      <c r="W55" s="5" t="str">
        <f t="shared" si="7"/>
        <v>meta</v>
      </c>
      <c r="X55" s="67"/>
      <c r="Y55" s="4"/>
      <c r="Z55" s="4"/>
      <c r="AA55" s="4"/>
    </row>
    <row r="56" ht="19.5" customHeight="1">
      <c r="A56" s="56" t="s">
        <v>28</v>
      </c>
      <c r="B56" s="57">
        <v>37.0</v>
      </c>
      <c r="C56" s="58">
        <f t="shared" si="8"/>
        <v>335.8055805</v>
      </c>
      <c r="D56" s="58">
        <f t="shared" si="9"/>
        <v>35.97916934</v>
      </c>
      <c r="E56" s="59"/>
      <c r="F56" s="60" t="str">
        <f t="shared" si="1"/>
        <v>-</v>
      </c>
      <c r="G56" s="5" t="str">
        <f t="shared" si="2"/>
        <v>meta</v>
      </c>
      <c r="H56" s="83"/>
      <c r="I56" s="62" t="str">
        <f t="shared" si="10"/>
        <v/>
      </c>
      <c r="J56" s="62" t="str">
        <f t="shared" si="3"/>
        <v/>
      </c>
      <c r="K56" s="68" t="str">
        <f t="shared" si="11"/>
        <v/>
      </c>
      <c r="L56" s="64"/>
      <c r="M56" s="65">
        <f t="shared" si="4"/>
        <v>41.35536706</v>
      </c>
      <c r="N56" s="65">
        <f t="shared" si="5"/>
        <v>83.51407401</v>
      </c>
      <c r="O56" s="65">
        <f t="shared" si="6"/>
        <v>131.9723579</v>
      </c>
      <c r="P56" s="4"/>
      <c r="Q56" s="4"/>
      <c r="R56" s="4"/>
      <c r="S56" s="4"/>
      <c r="T56" s="4"/>
      <c r="U56" s="4"/>
      <c r="V56" s="8">
        <f t="shared" si="12"/>
        <v>226.5129024</v>
      </c>
      <c r="W56" s="5" t="str">
        <f t="shared" si="7"/>
        <v>meta</v>
      </c>
      <c r="X56" s="67"/>
      <c r="Y56" s="4"/>
      <c r="Z56" s="4"/>
      <c r="AA56" s="4"/>
    </row>
    <row r="57" ht="19.5" customHeight="1">
      <c r="A57" s="56" t="s">
        <v>28</v>
      </c>
      <c r="B57" s="57">
        <v>38.0</v>
      </c>
      <c r="C57" s="58">
        <f t="shared" si="8"/>
        <v>376.1022502</v>
      </c>
      <c r="D57" s="58">
        <f t="shared" si="9"/>
        <v>40.29666966</v>
      </c>
      <c r="E57" s="59"/>
      <c r="F57" s="60" t="str">
        <f t="shared" si="1"/>
        <v>-</v>
      </c>
      <c r="G57" s="5" t="str">
        <f t="shared" si="2"/>
        <v>meta</v>
      </c>
      <c r="H57" s="83"/>
      <c r="I57" s="62" t="str">
        <f t="shared" si="10"/>
        <v/>
      </c>
      <c r="J57" s="62" t="str">
        <f t="shared" si="3"/>
        <v/>
      </c>
      <c r="K57" s="68" t="str">
        <f t="shared" si="11"/>
        <v/>
      </c>
      <c r="L57" s="64"/>
      <c r="M57" s="65">
        <f t="shared" si="4"/>
        <v>46.31801111</v>
      </c>
      <c r="N57" s="65">
        <f t="shared" si="5"/>
        <v>93.53576289</v>
      </c>
      <c r="O57" s="65">
        <f t="shared" si="6"/>
        <v>147.8090408</v>
      </c>
      <c r="P57" s="4"/>
      <c r="Q57" s="4"/>
      <c r="R57" s="4"/>
      <c r="S57" s="4"/>
      <c r="T57" s="4"/>
      <c r="U57" s="4"/>
      <c r="V57" s="8">
        <f t="shared" si="12"/>
        <v>253.6944507</v>
      </c>
      <c r="W57" s="5" t="str">
        <f t="shared" si="7"/>
        <v>meta</v>
      </c>
      <c r="X57" s="67"/>
      <c r="Y57" s="4"/>
      <c r="Z57" s="4"/>
      <c r="AA57" s="4"/>
    </row>
    <row r="58" ht="19.5" customHeight="1">
      <c r="A58" s="56" t="s">
        <v>28</v>
      </c>
      <c r="B58" s="57">
        <v>39.0</v>
      </c>
      <c r="C58" s="58">
        <f t="shared" si="8"/>
        <v>421.2345202</v>
      </c>
      <c r="D58" s="58">
        <f t="shared" si="9"/>
        <v>45.13227002</v>
      </c>
      <c r="E58" s="59"/>
      <c r="F58" s="60" t="str">
        <f t="shared" si="1"/>
        <v>-</v>
      </c>
      <c r="G58" s="5" t="str">
        <f t="shared" si="2"/>
        <v>meta</v>
      </c>
      <c r="H58" s="83"/>
      <c r="I58" s="62" t="str">
        <f t="shared" si="10"/>
        <v/>
      </c>
      <c r="J58" s="62" t="str">
        <f t="shared" si="3"/>
        <v/>
      </c>
      <c r="K58" s="68" t="str">
        <f t="shared" si="11"/>
        <v/>
      </c>
      <c r="L58" s="64"/>
      <c r="M58" s="65">
        <f t="shared" si="4"/>
        <v>51.87617244</v>
      </c>
      <c r="N58" s="65">
        <f t="shared" si="5"/>
        <v>104.7600544</v>
      </c>
      <c r="O58" s="65">
        <f t="shared" si="6"/>
        <v>165.5461257</v>
      </c>
      <c r="P58" s="4"/>
      <c r="Q58" s="4"/>
      <c r="R58" s="4"/>
      <c r="S58" s="4"/>
      <c r="T58" s="4"/>
      <c r="U58" s="4"/>
      <c r="V58" s="8">
        <f t="shared" si="12"/>
        <v>284.1377847</v>
      </c>
      <c r="W58" s="5" t="str">
        <f t="shared" si="7"/>
        <v>meta</v>
      </c>
      <c r="X58" s="67"/>
      <c r="Y58" s="4"/>
      <c r="Z58" s="4"/>
      <c r="AA58" s="4"/>
    </row>
    <row r="59" ht="19.5" customHeight="1">
      <c r="A59" s="56" t="s">
        <v>28</v>
      </c>
      <c r="B59" s="57">
        <v>40.0</v>
      </c>
      <c r="C59" s="58">
        <f t="shared" si="8"/>
        <v>471.7826626</v>
      </c>
      <c r="D59" s="58">
        <f t="shared" si="9"/>
        <v>50.54814242</v>
      </c>
      <c r="E59" s="59"/>
      <c r="F59" s="60" t="str">
        <f t="shared" si="1"/>
        <v>-</v>
      </c>
      <c r="G59" s="5" t="str">
        <f t="shared" si="2"/>
        <v>meta</v>
      </c>
      <c r="H59" s="83"/>
      <c r="I59" s="62" t="str">
        <f t="shared" si="10"/>
        <v/>
      </c>
      <c r="J59" s="62" t="str">
        <f t="shared" si="3"/>
        <v/>
      </c>
      <c r="K59" s="68" t="str">
        <f t="shared" si="11"/>
        <v/>
      </c>
      <c r="L59" s="64"/>
      <c r="M59" s="65">
        <f t="shared" si="4"/>
        <v>58.10131313</v>
      </c>
      <c r="N59" s="65">
        <f t="shared" si="5"/>
        <v>117.331261</v>
      </c>
      <c r="O59" s="65">
        <f t="shared" si="6"/>
        <v>185.4116608</v>
      </c>
      <c r="P59" s="4"/>
      <c r="Q59" s="4"/>
      <c r="R59" s="4"/>
      <c r="S59" s="4"/>
      <c r="T59" s="4"/>
      <c r="U59" s="4"/>
      <c r="V59" s="8">
        <f t="shared" si="12"/>
        <v>318.2343189</v>
      </c>
      <c r="W59" s="5" t="str">
        <f t="shared" si="7"/>
        <v>meta</v>
      </c>
      <c r="X59" s="67"/>
      <c r="Y59" s="4"/>
      <c r="Z59" s="4"/>
      <c r="AA59" s="4"/>
    </row>
    <row r="60" ht="19.5" customHeight="1">
      <c r="A60" s="56" t="s">
        <v>28</v>
      </c>
      <c r="B60" s="57">
        <v>41.0</v>
      </c>
      <c r="C60" s="58">
        <f t="shared" si="8"/>
        <v>528.3965821</v>
      </c>
      <c r="D60" s="58">
        <f t="shared" si="9"/>
        <v>56.61391952</v>
      </c>
      <c r="E60" s="59"/>
      <c r="F60" s="60" t="str">
        <f t="shared" si="1"/>
        <v>-</v>
      </c>
      <c r="G60" s="5" t="str">
        <f t="shared" si="2"/>
        <v>meta</v>
      </c>
      <c r="H60" s="83"/>
      <c r="I60" s="62" t="str">
        <f t="shared" si="10"/>
        <v/>
      </c>
      <c r="J60" s="62" t="str">
        <f t="shared" si="3"/>
        <v/>
      </c>
      <c r="K60" s="68" t="str">
        <f t="shared" si="11"/>
        <v/>
      </c>
      <c r="L60" s="64"/>
      <c r="M60" s="65">
        <f t="shared" si="4"/>
        <v>65.07347071</v>
      </c>
      <c r="N60" s="65">
        <f t="shared" si="5"/>
        <v>131.4110123</v>
      </c>
      <c r="O60" s="65">
        <f t="shared" si="6"/>
        <v>207.6610601</v>
      </c>
      <c r="P60" s="4"/>
      <c r="Q60" s="4"/>
      <c r="R60" s="4"/>
      <c r="S60" s="4"/>
      <c r="T60" s="4"/>
      <c r="U60" s="4"/>
      <c r="V60" s="8">
        <f t="shared" si="12"/>
        <v>356.4224372</v>
      </c>
      <c r="W60" s="5" t="str">
        <f t="shared" si="7"/>
        <v>meta</v>
      </c>
      <c r="X60" s="67"/>
      <c r="Y60" s="4"/>
      <c r="Z60" s="4"/>
      <c r="AA60" s="4"/>
    </row>
    <row r="61" ht="19.5" customHeight="1">
      <c r="A61" s="56" t="s">
        <v>28</v>
      </c>
      <c r="B61" s="57">
        <v>42.0</v>
      </c>
      <c r="C61" s="58">
        <f t="shared" si="8"/>
        <v>591.804172</v>
      </c>
      <c r="D61" s="58">
        <f t="shared" si="9"/>
        <v>63.40758986</v>
      </c>
      <c r="E61" s="59"/>
      <c r="F61" s="60" t="str">
        <f t="shared" si="1"/>
        <v>-</v>
      </c>
      <c r="G61" s="5" t="str">
        <f t="shared" si="2"/>
        <v>meta</v>
      </c>
      <c r="H61" s="83"/>
      <c r="I61" s="62" t="str">
        <f t="shared" si="10"/>
        <v/>
      </c>
      <c r="J61" s="62" t="str">
        <f t="shared" si="3"/>
        <v/>
      </c>
      <c r="K61" s="68" t="str">
        <f t="shared" si="11"/>
        <v/>
      </c>
      <c r="L61" s="64"/>
      <c r="M61" s="65">
        <f t="shared" si="4"/>
        <v>72.88228719</v>
      </c>
      <c r="N61" s="65">
        <f t="shared" si="5"/>
        <v>147.1803338</v>
      </c>
      <c r="O61" s="65">
        <f t="shared" si="6"/>
        <v>232.5803873</v>
      </c>
      <c r="P61" s="4"/>
      <c r="Q61" s="4"/>
      <c r="R61" s="4"/>
      <c r="S61" s="4"/>
      <c r="T61" s="4"/>
      <c r="U61" s="4"/>
      <c r="V61" s="8">
        <f t="shared" si="12"/>
        <v>399.1931296</v>
      </c>
      <c r="W61" s="5" t="str">
        <f t="shared" si="7"/>
        <v>meta</v>
      </c>
      <c r="X61" s="67"/>
      <c r="Y61" s="4"/>
      <c r="Z61" s="4"/>
      <c r="AA61" s="4"/>
    </row>
    <row r="62" ht="19.5" customHeight="1">
      <c r="A62" s="56" t="s">
        <v>28</v>
      </c>
      <c r="B62" s="57">
        <v>43.0</v>
      </c>
      <c r="C62" s="58">
        <f t="shared" si="8"/>
        <v>662.8206726</v>
      </c>
      <c r="D62" s="58">
        <f t="shared" si="9"/>
        <v>71.01650064</v>
      </c>
      <c r="E62" s="59"/>
      <c r="F62" s="60" t="str">
        <f t="shared" si="1"/>
        <v>-</v>
      </c>
      <c r="G62" s="5" t="str">
        <f t="shared" si="2"/>
        <v>meta</v>
      </c>
      <c r="H62" s="83"/>
      <c r="I62" s="62" t="str">
        <f t="shared" si="10"/>
        <v/>
      </c>
      <c r="J62" s="62" t="str">
        <f t="shared" si="3"/>
        <v/>
      </c>
      <c r="K62" s="68" t="str">
        <f t="shared" si="11"/>
        <v/>
      </c>
      <c r="L62" s="64"/>
      <c r="M62" s="65">
        <f t="shared" si="4"/>
        <v>81.62816166</v>
      </c>
      <c r="N62" s="65">
        <f t="shared" si="5"/>
        <v>164.8419738</v>
      </c>
      <c r="O62" s="65">
        <f t="shared" si="6"/>
        <v>260.4900338</v>
      </c>
      <c r="P62" s="4"/>
      <c r="Q62" s="4"/>
      <c r="R62" s="4"/>
      <c r="S62" s="4"/>
      <c r="T62" s="4"/>
      <c r="U62" s="4"/>
      <c r="V62" s="8">
        <f t="shared" si="12"/>
        <v>447.0963052</v>
      </c>
      <c r="W62" s="5" t="str">
        <f t="shared" si="7"/>
        <v>meta</v>
      </c>
      <c r="X62" s="67"/>
      <c r="Y62" s="4"/>
      <c r="Z62" s="4"/>
      <c r="AA62" s="4"/>
    </row>
    <row r="63" ht="19.5" customHeight="1">
      <c r="A63" s="56" t="s">
        <v>28</v>
      </c>
      <c r="B63" s="57">
        <v>44.0</v>
      </c>
      <c r="C63" s="58">
        <f t="shared" si="8"/>
        <v>742.3591534</v>
      </c>
      <c r="D63" s="58">
        <f t="shared" si="9"/>
        <v>79.53848072</v>
      </c>
      <c r="E63" s="59"/>
      <c r="F63" s="60" t="str">
        <f t="shared" si="1"/>
        <v>-</v>
      </c>
      <c r="G63" s="5" t="str">
        <f t="shared" si="2"/>
        <v>meta</v>
      </c>
      <c r="H63" s="83"/>
      <c r="I63" s="62" t="str">
        <f t="shared" si="10"/>
        <v/>
      </c>
      <c r="J63" s="62" t="str">
        <f t="shared" si="3"/>
        <v/>
      </c>
      <c r="K63" s="68" t="str">
        <f t="shared" si="11"/>
        <v/>
      </c>
      <c r="L63" s="64"/>
      <c r="M63" s="65">
        <f t="shared" si="4"/>
        <v>91.42354105</v>
      </c>
      <c r="N63" s="65">
        <f t="shared" si="5"/>
        <v>184.6230107</v>
      </c>
      <c r="O63" s="65">
        <f t="shared" si="6"/>
        <v>291.7488378</v>
      </c>
      <c r="P63" s="4"/>
      <c r="Q63" s="4"/>
      <c r="R63" s="4"/>
      <c r="S63" s="4"/>
      <c r="T63" s="4"/>
      <c r="U63" s="4"/>
      <c r="V63" s="8">
        <f t="shared" si="12"/>
        <v>500.7478618</v>
      </c>
      <c r="W63" s="5" t="str">
        <f t="shared" si="7"/>
        <v>meta</v>
      </c>
      <c r="X63" s="67"/>
      <c r="Y63" s="4"/>
      <c r="Z63" s="4"/>
      <c r="AA63" s="4"/>
    </row>
    <row r="64" ht="19.5" customHeight="1">
      <c r="A64" s="56" t="s">
        <v>28</v>
      </c>
      <c r="B64" s="57">
        <v>45.0</v>
      </c>
      <c r="C64" s="58">
        <f t="shared" si="8"/>
        <v>831.4422518</v>
      </c>
      <c r="D64" s="58">
        <f t="shared" si="9"/>
        <v>89.0830984</v>
      </c>
      <c r="E64" s="59"/>
      <c r="F64" s="60" t="str">
        <f t="shared" si="1"/>
        <v>-</v>
      </c>
      <c r="G64" s="5" t="str">
        <f t="shared" si="2"/>
        <v>meta</v>
      </c>
      <c r="H64" s="83"/>
      <c r="I64" s="62" t="str">
        <f t="shared" si="10"/>
        <v/>
      </c>
      <c r="J64" s="62" t="str">
        <f t="shared" si="3"/>
        <v/>
      </c>
      <c r="K64" s="68" t="str">
        <f t="shared" si="11"/>
        <v/>
      </c>
      <c r="L64" s="64"/>
      <c r="M64" s="65">
        <f t="shared" si="4"/>
        <v>102.394366</v>
      </c>
      <c r="N64" s="65">
        <f t="shared" si="5"/>
        <v>206.7777719</v>
      </c>
      <c r="O64" s="65">
        <f t="shared" si="6"/>
        <v>326.7586983</v>
      </c>
      <c r="P64" s="4"/>
      <c r="Q64" s="4"/>
      <c r="R64" s="4"/>
      <c r="S64" s="4"/>
      <c r="T64" s="4"/>
      <c r="U64" s="4"/>
      <c r="V64" s="8">
        <f t="shared" si="12"/>
        <v>560.8376052</v>
      </c>
      <c r="W64" s="5" t="str">
        <f t="shared" si="7"/>
        <v>meta</v>
      </c>
      <c r="X64" s="67"/>
      <c r="Y64" s="4"/>
      <c r="Z64" s="4"/>
      <c r="AA64" s="4"/>
    </row>
    <row r="65" ht="19.5" customHeight="1">
      <c r="A65" s="56" t="s">
        <v>28</v>
      </c>
      <c r="B65" s="57">
        <v>46.0</v>
      </c>
      <c r="C65" s="58">
        <f t="shared" si="8"/>
        <v>931.215322</v>
      </c>
      <c r="D65" s="58">
        <f t="shared" si="9"/>
        <v>99.77307021</v>
      </c>
      <c r="E65" s="59"/>
      <c r="F65" s="60" t="str">
        <f t="shared" si="1"/>
        <v>-</v>
      </c>
      <c r="G65" s="5" t="str">
        <f t="shared" si="2"/>
        <v>meta</v>
      </c>
      <c r="H65" s="83"/>
      <c r="I65" s="62" t="str">
        <f t="shared" si="10"/>
        <v/>
      </c>
      <c r="J65" s="62" t="str">
        <f t="shared" si="3"/>
        <v/>
      </c>
      <c r="K65" s="68" t="str">
        <f t="shared" si="11"/>
        <v/>
      </c>
      <c r="L65" s="64"/>
      <c r="M65" s="65">
        <f t="shared" si="4"/>
        <v>114.6816899</v>
      </c>
      <c r="N65" s="65">
        <f t="shared" si="5"/>
        <v>231.5911046</v>
      </c>
      <c r="O65" s="65">
        <f t="shared" si="6"/>
        <v>365.9697421</v>
      </c>
      <c r="P65" s="4"/>
      <c r="Q65" s="4"/>
      <c r="R65" s="4"/>
      <c r="S65" s="4"/>
      <c r="T65" s="4"/>
      <c r="U65" s="4"/>
      <c r="V65" s="8">
        <f t="shared" si="12"/>
        <v>628.1381179</v>
      </c>
      <c r="W65" s="5" t="str">
        <f t="shared" si="7"/>
        <v>meta</v>
      </c>
      <c r="X65" s="67"/>
      <c r="Y65" s="4"/>
      <c r="Z65" s="4"/>
      <c r="AA65" s="4"/>
    </row>
    <row r="66" ht="19.5" customHeight="1">
      <c r="A66" s="56" t="s">
        <v>28</v>
      </c>
      <c r="B66" s="57">
        <v>47.0</v>
      </c>
      <c r="C66" s="58">
        <f t="shared" si="8"/>
        <v>1042.961161</v>
      </c>
      <c r="D66" s="58">
        <f t="shared" si="9"/>
        <v>111.7458386</v>
      </c>
      <c r="E66" s="59"/>
      <c r="F66" s="60" t="str">
        <f t="shared" si="1"/>
        <v>-</v>
      </c>
      <c r="G66" s="5" t="str">
        <f t="shared" si="2"/>
        <v>meta</v>
      </c>
      <c r="H66" s="83"/>
      <c r="I66" s="62" t="str">
        <f t="shared" si="10"/>
        <v/>
      </c>
      <c r="J66" s="62" t="str">
        <f t="shared" si="3"/>
        <v/>
      </c>
      <c r="K66" s="68" t="str">
        <f t="shared" si="11"/>
        <v/>
      </c>
      <c r="L66" s="64"/>
      <c r="M66" s="65">
        <f t="shared" si="4"/>
        <v>128.4434927</v>
      </c>
      <c r="N66" s="65">
        <f t="shared" si="5"/>
        <v>259.3820371</v>
      </c>
      <c r="O66" s="65">
        <f t="shared" si="6"/>
        <v>409.8861112</v>
      </c>
      <c r="P66" s="4"/>
      <c r="Q66" s="4"/>
      <c r="R66" s="4"/>
      <c r="S66" s="4"/>
      <c r="T66" s="4"/>
      <c r="U66" s="4"/>
      <c r="V66" s="8">
        <f t="shared" si="12"/>
        <v>703.514692</v>
      </c>
      <c r="W66" s="5" t="str">
        <f t="shared" si="7"/>
        <v>meta</v>
      </c>
      <c r="X66" s="67"/>
      <c r="Y66" s="4"/>
      <c r="Z66" s="4"/>
      <c r="AA66" s="4"/>
    </row>
    <row r="67" ht="19.5" customHeight="1">
      <c r="A67" s="56" t="s">
        <v>28</v>
      </c>
      <c r="B67" s="57">
        <v>48.0</v>
      </c>
      <c r="C67" s="58">
        <f t="shared" si="8"/>
        <v>1168.1165</v>
      </c>
      <c r="D67" s="58">
        <f t="shared" si="9"/>
        <v>125.1553393</v>
      </c>
      <c r="E67" s="59"/>
      <c r="F67" s="60" t="str">
        <f t="shared" si="1"/>
        <v>-</v>
      </c>
      <c r="G67" s="5" t="str">
        <f t="shared" si="2"/>
        <v>meta</v>
      </c>
      <c r="H67" s="83"/>
      <c r="I67" s="62" t="str">
        <f t="shared" si="10"/>
        <v/>
      </c>
      <c r="J67" s="62" t="str">
        <f t="shared" si="3"/>
        <v/>
      </c>
      <c r="K67" s="68" t="str">
        <f t="shared" si="11"/>
        <v/>
      </c>
      <c r="L67" s="64"/>
      <c r="M67" s="65">
        <f t="shared" si="4"/>
        <v>143.8567118</v>
      </c>
      <c r="N67" s="65">
        <f t="shared" si="5"/>
        <v>290.5078816</v>
      </c>
      <c r="O67" s="65">
        <f t="shared" si="6"/>
        <v>459.0724445</v>
      </c>
      <c r="P67" s="4"/>
      <c r="Q67" s="4"/>
      <c r="R67" s="4"/>
      <c r="S67" s="4"/>
      <c r="T67" s="4"/>
      <c r="U67" s="4"/>
      <c r="V67" s="8">
        <f t="shared" si="12"/>
        <v>787.9364551</v>
      </c>
      <c r="W67" s="5" t="str">
        <f t="shared" si="7"/>
        <v>meta</v>
      </c>
      <c r="X67" s="67"/>
      <c r="Y67" s="4"/>
      <c r="Z67" s="4"/>
      <c r="AA67" s="4"/>
    </row>
    <row r="68" ht="19.5" customHeight="1">
      <c r="A68" s="56" t="s">
        <v>28</v>
      </c>
      <c r="B68" s="57">
        <v>49.0</v>
      </c>
      <c r="C68" s="58">
        <f t="shared" si="8"/>
        <v>1308.29048</v>
      </c>
      <c r="D68" s="58">
        <f t="shared" si="9"/>
        <v>140.17398</v>
      </c>
      <c r="E68" s="59"/>
      <c r="F68" s="60" t="str">
        <f t="shared" si="1"/>
        <v>-</v>
      </c>
      <c r="G68" s="5" t="str">
        <f t="shared" si="2"/>
        <v>meta</v>
      </c>
      <c r="H68" s="83"/>
      <c r="I68" s="62" t="str">
        <f t="shared" si="10"/>
        <v/>
      </c>
      <c r="J68" s="62" t="str">
        <f t="shared" si="3"/>
        <v/>
      </c>
      <c r="K68" s="68" t="str">
        <f t="shared" si="11"/>
        <v/>
      </c>
      <c r="L68" s="64"/>
      <c r="M68" s="65">
        <f t="shared" si="4"/>
        <v>161.1195172</v>
      </c>
      <c r="N68" s="65">
        <f t="shared" si="5"/>
        <v>325.3688274</v>
      </c>
      <c r="O68" s="65">
        <f t="shared" si="6"/>
        <v>514.1611379</v>
      </c>
      <c r="P68" s="4"/>
      <c r="Q68" s="4"/>
      <c r="R68" s="4"/>
      <c r="S68" s="4"/>
      <c r="T68" s="4"/>
      <c r="U68" s="4"/>
      <c r="V68" s="8">
        <f t="shared" si="12"/>
        <v>882.4888297</v>
      </c>
      <c r="W68" s="5" t="str">
        <f t="shared" si="7"/>
        <v>meta</v>
      </c>
      <c r="X68" s="67"/>
      <c r="Y68" s="4"/>
      <c r="Z68" s="4"/>
      <c r="AA68" s="4"/>
    </row>
    <row r="69" ht="19.5" customHeight="1">
      <c r="A69" s="56" t="s">
        <v>28</v>
      </c>
      <c r="B69" s="57">
        <v>50.0</v>
      </c>
      <c r="C69" s="58">
        <f t="shared" si="8"/>
        <v>1465.285337</v>
      </c>
      <c r="D69" s="58">
        <f t="shared" si="9"/>
        <v>156.9948576</v>
      </c>
      <c r="E69" s="59"/>
      <c r="F69" s="60" t="str">
        <f t="shared" si="1"/>
        <v>-</v>
      </c>
      <c r="G69" s="5" t="str">
        <f t="shared" si="2"/>
        <v>meta</v>
      </c>
      <c r="H69" s="83"/>
      <c r="I69" s="62" t="str">
        <f t="shared" si="10"/>
        <v/>
      </c>
      <c r="J69" s="62" t="str">
        <f t="shared" si="3"/>
        <v/>
      </c>
      <c r="K69" s="68" t="str">
        <f t="shared" si="11"/>
        <v/>
      </c>
      <c r="L69" s="64"/>
      <c r="M69" s="65">
        <f t="shared" si="4"/>
        <v>180.4538593</v>
      </c>
      <c r="N69" s="65">
        <f t="shared" si="5"/>
        <v>364.4130867</v>
      </c>
      <c r="O69" s="65">
        <f t="shared" si="6"/>
        <v>575.8604744</v>
      </c>
      <c r="P69" s="4"/>
      <c r="Q69" s="4"/>
      <c r="R69" s="4"/>
      <c r="S69" s="4"/>
      <c r="T69" s="4"/>
      <c r="U69" s="4"/>
      <c r="V69" s="8">
        <f t="shared" si="12"/>
        <v>988.3874892</v>
      </c>
      <c r="W69" s="5" t="str">
        <f t="shared" si="7"/>
        <v>meta</v>
      </c>
      <c r="X69" s="67"/>
      <c r="Y69" s="4"/>
      <c r="Z69" s="4"/>
      <c r="AA69" s="4"/>
    </row>
    <row r="70" ht="19.5" customHeight="1">
      <c r="A70" s="56" t="s">
        <v>28</v>
      </c>
      <c r="B70" s="57">
        <v>51.0</v>
      </c>
      <c r="C70" s="58">
        <f t="shared" si="8"/>
        <v>1641.119578</v>
      </c>
      <c r="D70" s="58">
        <f t="shared" si="9"/>
        <v>175.8342405</v>
      </c>
      <c r="E70" s="59"/>
      <c r="F70" s="60" t="str">
        <f t="shared" si="1"/>
        <v>-</v>
      </c>
      <c r="G70" s="5" t="str">
        <f t="shared" si="2"/>
        <v>meta</v>
      </c>
      <c r="H70" s="83"/>
      <c r="I70" s="62" t="str">
        <f t="shared" si="10"/>
        <v/>
      </c>
      <c r="J70" s="62" t="str">
        <f t="shared" si="3"/>
        <v/>
      </c>
      <c r="K70" s="68" t="str">
        <f t="shared" si="11"/>
        <v/>
      </c>
      <c r="L70" s="64"/>
      <c r="M70" s="65">
        <f t="shared" si="4"/>
        <v>202.1083224</v>
      </c>
      <c r="N70" s="65">
        <f t="shared" si="5"/>
        <v>408.1426571</v>
      </c>
      <c r="O70" s="65">
        <f t="shared" si="6"/>
        <v>644.9637314</v>
      </c>
      <c r="P70" s="4"/>
      <c r="Q70" s="4"/>
      <c r="R70" s="4"/>
      <c r="S70" s="4"/>
      <c r="T70" s="4"/>
      <c r="U70" s="4"/>
      <c r="V70" s="8">
        <f t="shared" si="12"/>
        <v>1106.993988</v>
      </c>
      <c r="W70" s="5" t="str">
        <f t="shared" si="7"/>
        <v>meta</v>
      </c>
      <c r="X70" s="67"/>
      <c r="Y70" s="4"/>
      <c r="Z70" s="4"/>
      <c r="AA70" s="4"/>
    </row>
    <row r="71" ht="19.5" customHeight="1">
      <c r="A71" s="56" t="s">
        <v>28</v>
      </c>
      <c r="B71" s="57">
        <v>52.0</v>
      </c>
      <c r="C71" s="58">
        <f t="shared" si="8"/>
        <v>1838.053927</v>
      </c>
      <c r="D71" s="58">
        <f t="shared" si="9"/>
        <v>196.9343494</v>
      </c>
      <c r="E71" s="59"/>
      <c r="F71" s="60" t="str">
        <f t="shared" si="1"/>
        <v>-</v>
      </c>
      <c r="G71" s="5" t="str">
        <f t="shared" si="2"/>
        <v>meta</v>
      </c>
      <c r="H71" s="83"/>
      <c r="I71" s="62" t="str">
        <f t="shared" si="10"/>
        <v/>
      </c>
      <c r="J71" s="62" t="str">
        <f t="shared" si="3"/>
        <v/>
      </c>
      <c r="K71" s="68" t="str">
        <f t="shared" si="11"/>
        <v/>
      </c>
      <c r="L71" s="64"/>
      <c r="M71" s="65">
        <f t="shared" si="4"/>
        <v>226.3613211</v>
      </c>
      <c r="N71" s="65">
        <f t="shared" si="5"/>
        <v>457.1197759</v>
      </c>
      <c r="O71" s="65">
        <f t="shared" si="6"/>
        <v>722.3593791</v>
      </c>
      <c r="P71" s="4"/>
      <c r="Q71" s="4"/>
      <c r="R71" s="4"/>
      <c r="S71" s="4"/>
      <c r="T71" s="4"/>
      <c r="U71" s="4"/>
      <c r="V71" s="8">
        <f t="shared" si="12"/>
        <v>1239.833266</v>
      </c>
      <c r="W71" s="5" t="str">
        <f t="shared" si="7"/>
        <v>meta</v>
      </c>
      <c r="X71" s="67"/>
      <c r="Y71" s="4"/>
      <c r="Z71" s="4"/>
      <c r="AA71" s="4"/>
    </row>
    <row r="72" ht="19.5" customHeight="1">
      <c r="A72" s="56" t="s">
        <v>28</v>
      </c>
      <c r="B72" s="57">
        <v>53.0</v>
      </c>
      <c r="C72" s="58">
        <f t="shared" si="8"/>
        <v>2058.620399</v>
      </c>
      <c r="D72" s="58">
        <f t="shared" si="9"/>
        <v>220.5664713</v>
      </c>
      <c r="E72" s="59"/>
      <c r="F72" s="60" t="str">
        <f t="shared" si="1"/>
        <v>-</v>
      </c>
      <c r="G72" s="5" t="str">
        <f t="shared" si="2"/>
        <v>meta</v>
      </c>
      <c r="H72" s="83"/>
      <c r="I72" s="62" t="str">
        <f t="shared" si="10"/>
        <v/>
      </c>
      <c r="J72" s="62" t="str">
        <f t="shared" si="3"/>
        <v/>
      </c>
      <c r="K72" s="68" t="str">
        <f t="shared" si="11"/>
        <v/>
      </c>
      <c r="L72" s="64"/>
      <c r="M72" s="65">
        <f t="shared" si="4"/>
        <v>253.5246796</v>
      </c>
      <c r="N72" s="65">
        <f t="shared" si="5"/>
        <v>511.974149</v>
      </c>
      <c r="O72" s="65">
        <f t="shared" si="6"/>
        <v>809.0425046</v>
      </c>
      <c r="P72" s="4"/>
      <c r="Q72" s="4"/>
      <c r="R72" s="4"/>
      <c r="S72" s="4"/>
      <c r="T72" s="4"/>
      <c r="U72" s="4"/>
      <c r="V72" s="8">
        <f t="shared" si="12"/>
        <v>1388.613258</v>
      </c>
      <c r="W72" s="5" t="str">
        <f t="shared" si="7"/>
        <v>meta</v>
      </c>
      <c r="X72" s="67"/>
      <c r="Y72" s="4"/>
      <c r="Z72" s="4"/>
      <c r="AA72" s="4"/>
    </row>
    <row r="73" ht="19.5" customHeight="1">
      <c r="A73" s="56" t="s">
        <v>28</v>
      </c>
      <c r="B73" s="57">
        <v>54.0</v>
      </c>
      <c r="C73" s="58">
        <f t="shared" si="8"/>
        <v>2305.654846</v>
      </c>
      <c r="D73" s="58">
        <f t="shared" si="9"/>
        <v>247.0344478</v>
      </c>
      <c r="E73" s="59"/>
      <c r="F73" s="60" t="str">
        <f t="shared" si="1"/>
        <v>-</v>
      </c>
      <c r="G73" s="5" t="str">
        <f t="shared" si="2"/>
        <v>meta</v>
      </c>
      <c r="H73" s="83"/>
      <c r="I73" s="62" t="str">
        <f t="shared" si="10"/>
        <v/>
      </c>
      <c r="J73" s="62" t="str">
        <f t="shared" si="3"/>
        <v/>
      </c>
      <c r="K73" s="68" t="str">
        <f t="shared" si="11"/>
        <v/>
      </c>
      <c r="L73" s="64"/>
      <c r="M73" s="65">
        <f t="shared" si="4"/>
        <v>283.9476412</v>
      </c>
      <c r="N73" s="65">
        <f t="shared" si="5"/>
        <v>573.4110469</v>
      </c>
      <c r="O73" s="65">
        <f t="shared" si="6"/>
        <v>906.1276052</v>
      </c>
      <c r="P73" s="4"/>
      <c r="Q73" s="4"/>
      <c r="R73" s="4"/>
      <c r="S73" s="4"/>
      <c r="T73" s="4"/>
      <c r="U73" s="4"/>
      <c r="V73" s="8">
        <f t="shared" si="12"/>
        <v>1555.246849</v>
      </c>
      <c r="W73" s="5" t="str">
        <f t="shared" si="7"/>
        <v>meta</v>
      </c>
      <c r="X73" s="67"/>
      <c r="Y73" s="4"/>
      <c r="Z73" s="4"/>
      <c r="AA73" s="4"/>
    </row>
    <row r="74" ht="19.5" customHeight="1">
      <c r="A74" s="56" t="s">
        <v>28</v>
      </c>
      <c r="B74" s="57">
        <v>55.0</v>
      </c>
      <c r="C74" s="58">
        <f t="shared" si="8"/>
        <v>2582.333428</v>
      </c>
      <c r="D74" s="58">
        <f t="shared" si="9"/>
        <v>276.6785816</v>
      </c>
      <c r="E74" s="59"/>
      <c r="F74" s="60" t="str">
        <f t="shared" si="1"/>
        <v>-</v>
      </c>
      <c r="G74" s="5" t="str">
        <f t="shared" si="2"/>
        <v>meta</v>
      </c>
      <c r="H74" s="83"/>
      <c r="I74" s="62" t="str">
        <f t="shared" si="10"/>
        <v/>
      </c>
      <c r="J74" s="62" t="str">
        <f t="shared" si="3"/>
        <v/>
      </c>
      <c r="K74" s="68" t="str">
        <f t="shared" si="11"/>
        <v/>
      </c>
      <c r="L74" s="64"/>
      <c r="M74" s="65">
        <f t="shared" si="4"/>
        <v>318.0213581</v>
      </c>
      <c r="N74" s="65">
        <f t="shared" si="5"/>
        <v>642.2203725</v>
      </c>
      <c r="O74" s="65">
        <f t="shared" si="6"/>
        <v>1014.862918</v>
      </c>
      <c r="P74" s="4"/>
      <c r="Q74" s="4"/>
      <c r="R74" s="4"/>
      <c r="S74" s="4"/>
      <c r="T74" s="4"/>
      <c r="U74" s="4"/>
      <c r="V74" s="8">
        <f t="shared" si="12"/>
        <v>1741.876471</v>
      </c>
      <c r="W74" s="5" t="str">
        <f t="shared" si="7"/>
        <v>meta</v>
      </c>
      <c r="X74" s="67"/>
      <c r="Y74" s="4"/>
      <c r="Z74" s="4"/>
      <c r="AA74" s="4"/>
    </row>
    <row r="75" ht="19.5" customHeight="1">
      <c r="A75" s="56" t="s">
        <v>28</v>
      </c>
      <c r="B75" s="57">
        <v>56.0</v>
      </c>
      <c r="C75" s="58">
        <f t="shared" si="8"/>
        <v>2892.213439</v>
      </c>
      <c r="D75" s="58">
        <f t="shared" si="9"/>
        <v>309.8800114</v>
      </c>
      <c r="E75" s="59"/>
      <c r="F75" s="60" t="str">
        <f t="shared" si="1"/>
        <v>-</v>
      </c>
      <c r="G75" s="5" t="str">
        <f t="shared" si="2"/>
        <v>meta</v>
      </c>
      <c r="H75" s="83"/>
      <c r="I75" s="62" t="str">
        <f t="shared" si="10"/>
        <v/>
      </c>
      <c r="J75" s="62" t="str">
        <f t="shared" si="3"/>
        <v/>
      </c>
      <c r="K75" s="68" t="str">
        <f t="shared" si="11"/>
        <v/>
      </c>
      <c r="L75" s="64"/>
      <c r="M75" s="65">
        <f t="shared" si="4"/>
        <v>356.1839211</v>
      </c>
      <c r="N75" s="65">
        <f t="shared" si="5"/>
        <v>719.2868172</v>
      </c>
      <c r="O75" s="65">
        <f t="shared" si="6"/>
        <v>1136.646468</v>
      </c>
      <c r="P75" s="4"/>
      <c r="Q75" s="4"/>
      <c r="R75" s="4"/>
      <c r="S75" s="4"/>
      <c r="T75" s="4"/>
      <c r="U75" s="4"/>
      <c r="V75" s="8">
        <f t="shared" si="12"/>
        <v>1950.901648</v>
      </c>
      <c r="W75" s="5" t="str">
        <f t="shared" si="7"/>
        <v>meta</v>
      </c>
      <c r="X75" s="67"/>
      <c r="Y75" s="4"/>
      <c r="Z75" s="4"/>
      <c r="AA75" s="4"/>
    </row>
    <row r="76" ht="19.5" customHeight="1">
      <c r="A76" s="56" t="s">
        <v>28</v>
      </c>
      <c r="B76" s="57">
        <v>57.0</v>
      </c>
      <c r="C76" s="58">
        <f t="shared" si="8"/>
        <v>3239.279052</v>
      </c>
      <c r="D76" s="58">
        <f t="shared" si="9"/>
        <v>347.0656127</v>
      </c>
      <c r="E76" s="59"/>
      <c r="F76" s="60" t="str">
        <f t="shared" si="1"/>
        <v>-</v>
      </c>
      <c r="G76" s="5" t="str">
        <f t="shared" si="2"/>
        <v>meta</v>
      </c>
      <c r="H76" s="83"/>
      <c r="I76" s="62" t="str">
        <f t="shared" si="10"/>
        <v/>
      </c>
      <c r="J76" s="62" t="str">
        <f t="shared" si="3"/>
        <v/>
      </c>
      <c r="K76" s="68" t="str">
        <f t="shared" si="11"/>
        <v/>
      </c>
      <c r="L76" s="64"/>
      <c r="M76" s="65">
        <f t="shared" si="4"/>
        <v>398.9259916</v>
      </c>
      <c r="N76" s="65">
        <f t="shared" si="5"/>
        <v>805.6012353</v>
      </c>
      <c r="O76" s="65">
        <f t="shared" si="6"/>
        <v>1273.044044</v>
      </c>
      <c r="P76" s="4"/>
      <c r="Q76" s="4"/>
      <c r="R76" s="4"/>
      <c r="S76" s="4"/>
      <c r="T76" s="4"/>
      <c r="U76" s="4"/>
      <c r="V76" s="8">
        <f t="shared" si="12"/>
        <v>2185.009846</v>
      </c>
      <c r="W76" s="5" t="str">
        <f t="shared" si="7"/>
        <v>meta</v>
      </c>
      <c r="X76" s="67"/>
      <c r="Y76" s="4"/>
      <c r="Z76" s="4"/>
      <c r="AA76" s="4"/>
    </row>
    <row r="77" ht="19.5" customHeight="1">
      <c r="A77" s="56" t="s">
        <v>28</v>
      </c>
      <c r="B77" s="57">
        <v>58.0</v>
      </c>
      <c r="C77" s="58">
        <f t="shared" si="8"/>
        <v>3627.992538</v>
      </c>
      <c r="D77" s="58">
        <f t="shared" si="9"/>
        <v>388.7134863</v>
      </c>
      <c r="E77" s="59"/>
      <c r="F77" s="60" t="str">
        <f t="shared" si="1"/>
        <v>-</v>
      </c>
      <c r="G77" s="5" t="str">
        <f t="shared" si="2"/>
        <v>meta</v>
      </c>
      <c r="H77" s="83"/>
      <c r="I77" s="62" t="str">
        <f t="shared" si="10"/>
        <v/>
      </c>
      <c r="J77" s="62" t="str">
        <f t="shared" si="3"/>
        <v/>
      </c>
      <c r="K77" s="68" t="str">
        <f t="shared" si="11"/>
        <v/>
      </c>
      <c r="L77" s="64"/>
      <c r="M77" s="65">
        <f t="shared" si="4"/>
        <v>446.7971106</v>
      </c>
      <c r="N77" s="65">
        <f t="shared" si="5"/>
        <v>902.2733835</v>
      </c>
      <c r="O77" s="65">
        <f t="shared" si="6"/>
        <v>1425.809329</v>
      </c>
      <c r="P77" s="4"/>
      <c r="Q77" s="4"/>
      <c r="R77" s="4"/>
      <c r="S77" s="4"/>
      <c r="T77" s="4"/>
      <c r="U77" s="4"/>
      <c r="V77" s="8">
        <f t="shared" si="12"/>
        <v>2447.211027</v>
      </c>
      <c r="W77" s="5" t="str">
        <f t="shared" si="7"/>
        <v>meta</v>
      </c>
      <c r="X77" s="67"/>
      <c r="Y77" s="4"/>
      <c r="Z77" s="4"/>
      <c r="AA77" s="4"/>
    </row>
    <row r="78" ht="19.5" customHeight="1">
      <c r="A78" s="56" t="s">
        <v>28</v>
      </c>
      <c r="B78" s="57">
        <v>59.0</v>
      </c>
      <c r="C78" s="58">
        <f t="shared" si="8"/>
        <v>4063.351643</v>
      </c>
      <c r="D78" s="58">
        <f t="shared" si="9"/>
        <v>435.3591046</v>
      </c>
      <c r="E78" s="59"/>
      <c r="F78" s="60" t="str">
        <f t="shared" si="1"/>
        <v>-</v>
      </c>
      <c r="G78" s="5" t="str">
        <f t="shared" si="2"/>
        <v>meta</v>
      </c>
      <c r="H78" s="83"/>
      <c r="I78" s="62" t="str">
        <f t="shared" si="10"/>
        <v/>
      </c>
      <c r="J78" s="62" t="str">
        <f t="shared" si="3"/>
        <v/>
      </c>
      <c r="K78" s="68" t="str">
        <f t="shared" si="11"/>
        <v/>
      </c>
      <c r="L78" s="64"/>
      <c r="M78" s="65">
        <f t="shared" si="4"/>
        <v>500.4127639</v>
      </c>
      <c r="N78" s="65">
        <f t="shared" si="5"/>
        <v>1010.54619</v>
      </c>
      <c r="O78" s="65">
        <f t="shared" si="6"/>
        <v>1596.906449</v>
      </c>
      <c r="P78" s="4"/>
      <c r="Q78" s="4"/>
      <c r="R78" s="4"/>
      <c r="S78" s="4"/>
      <c r="T78" s="4"/>
      <c r="U78" s="4"/>
      <c r="V78" s="8">
        <f t="shared" si="12"/>
        <v>2740.87635</v>
      </c>
      <c r="W78" s="5" t="str">
        <f t="shared" si="7"/>
        <v>meta</v>
      </c>
      <c r="X78" s="67"/>
      <c r="Y78" s="4"/>
      <c r="Z78" s="4"/>
      <c r="AA78" s="4"/>
    </row>
    <row r="79" ht="19.5" customHeight="1">
      <c r="A79" s="56" t="s">
        <v>28</v>
      </c>
      <c r="B79" s="57">
        <v>60.0</v>
      </c>
      <c r="C79" s="58">
        <f t="shared" si="8"/>
        <v>4550.95384</v>
      </c>
      <c r="D79" s="58">
        <f t="shared" si="9"/>
        <v>487.6021972</v>
      </c>
      <c r="E79" s="59"/>
      <c r="F79" s="60" t="str">
        <f t="shared" si="1"/>
        <v>-</v>
      </c>
      <c r="G79" s="5" t="str">
        <f t="shared" si="2"/>
        <v>meta</v>
      </c>
      <c r="H79" s="83"/>
      <c r="I79" s="62" t="str">
        <f t="shared" si="10"/>
        <v/>
      </c>
      <c r="J79" s="62" t="str">
        <f t="shared" si="3"/>
        <v/>
      </c>
      <c r="K79" s="68" t="str">
        <f t="shared" si="11"/>
        <v/>
      </c>
      <c r="L79" s="64"/>
      <c r="M79" s="65">
        <f t="shared" si="4"/>
        <v>560.4622956</v>
      </c>
      <c r="N79" s="65">
        <f t="shared" si="5"/>
        <v>1131.811732</v>
      </c>
      <c r="O79" s="65">
        <f t="shared" si="6"/>
        <v>1788.535223</v>
      </c>
      <c r="P79" s="4"/>
      <c r="Q79" s="4"/>
      <c r="R79" s="4"/>
      <c r="S79" s="4"/>
      <c r="T79" s="4"/>
      <c r="U79" s="4"/>
      <c r="V79" s="8">
        <f t="shared" si="12"/>
        <v>3069.781513</v>
      </c>
      <c r="W79" s="5" t="str">
        <f t="shared" si="7"/>
        <v>meta</v>
      </c>
      <c r="X79" s="67"/>
      <c r="Y79" s="4"/>
      <c r="Z79" s="4"/>
      <c r="AA79" s="4"/>
    </row>
    <row r="80" ht="19.5" customHeight="1">
      <c r="A80" s="56" t="s">
        <v>28</v>
      </c>
      <c r="B80" s="57">
        <v>61.0</v>
      </c>
      <c r="C80" s="58">
        <f t="shared" si="8"/>
        <v>5097.068301</v>
      </c>
      <c r="D80" s="58">
        <f t="shared" si="9"/>
        <v>546.1144608</v>
      </c>
      <c r="E80" s="59"/>
      <c r="F80" s="60" t="str">
        <f t="shared" si="1"/>
        <v>-</v>
      </c>
      <c r="G80" s="5" t="str">
        <f t="shared" si="2"/>
        <v>meta</v>
      </c>
      <c r="H80" s="83"/>
      <c r="I80" s="62" t="str">
        <f t="shared" si="10"/>
        <v/>
      </c>
      <c r="J80" s="62" t="str">
        <f t="shared" si="3"/>
        <v/>
      </c>
      <c r="K80" s="68" t="str">
        <f t="shared" si="11"/>
        <v/>
      </c>
      <c r="L80" s="64"/>
      <c r="M80" s="65">
        <f t="shared" si="4"/>
        <v>627.717771</v>
      </c>
      <c r="N80" s="65">
        <f t="shared" si="5"/>
        <v>1267.62914</v>
      </c>
      <c r="O80" s="65">
        <f t="shared" si="6"/>
        <v>2003.15945</v>
      </c>
      <c r="P80" s="4"/>
      <c r="Q80" s="4"/>
      <c r="R80" s="4"/>
      <c r="S80" s="4"/>
      <c r="T80" s="4"/>
      <c r="U80" s="4"/>
      <c r="V80" s="8">
        <f t="shared" si="12"/>
        <v>3438.155294</v>
      </c>
      <c r="W80" s="5" t="str">
        <f t="shared" si="7"/>
        <v>meta</v>
      </c>
      <c r="X80" s="67"/>
      <c r="Y80" s="4"/>
      <c r="Z80" s="4"/>
      <c r="AA80" s="4"/>
    </row>
    <row r="81" ht="19.5" customHeight="1">
      <c r="A81" s="56" t="s">
        <v>28</v>
      </c>
      <c r="B81" s="57">
        <v>62.0</v>
      </c>
      <c r="C81" s="58">
        <f t="shared" si="8"/>
        <v>5708.716497</v>
      </c>
      <c r="D81" s="58">
        <f t="shared" si="9"/>
        <v>611.6481961</v>
      </c>
      <c r="E81" s="59"/>
      <c r="F81" s="60" t="str">
        <f t="shared" si="1"/>
        <v>-</v>
      </c>
      <c r="G81" s="5" t="str">
        <f t="shared" si="2"/>
        <v>meta</v>
      </c>
      <c r="H81" s="83"/>
      <c r="I81" s="62" t="str">
        <f t="shared" si="10"/>
        <v/>
      </c>
      <c r="J81" s="62" t="str">
        <f t="shared" si="3"/>
        <v/>
      </c>
      <c r="K81" s="68" t="str">
        <f t="shared" si="11"/>
        <v/>
      </c>
      <c r="L81" s="64"/>
      <c r="M81" s="65">
        <f t="shared" si="4"/>
        <v>703.0439036</v>
      </c>
      <c r="N81" s="65">
        <f t="shared" si="5"/>
        <v>1419.744637</v>
      </c>
      <c r="O81" s="65">
        <f t="shared" si="6"/>
        <v>2243.538583</v>
      </c>
      <c r="P81" s="4"/>
      <c r="Q81" s="4"/>
      <c r="R81" s="4"/>
      <c r="S81" s="4"/>
      <c r="T81" s="4"/>
      <c r="U81" s="4"/>
      <c r="V81" s="8">
        <f t="shared" si="12"/>
        <v>3850.733929</v>
      </c>
      <c r="W81" s="5" t="str">
        <f t="shared" si="7"/>
        <v>meta</v>
      </c>
      <c r="X81" s="67"/>
      <c r="Y81" s="4"/>
      <c r="Z81" s="4"/>
      <c r="AA81" s="4"/>
    </row>
    <row r="82" ht="19.5" customHeight="1">
      <c r="A82" s="56" t="s">
        <v>28</v>
      </c>
      <c r="B82" s="57">
        <v>63.0</v>
      </c>
      <c r="C82" s="58">
        <f t="shared" si="8"/>
        <v>6393.762477</v>
      </c>
      <c r="D82" s="58">
        <f t="shared" si="9"/>
        <v>685.0459796</v>
      </c>
      <c r="E82" s="59"/>
      <c r="F82" s="60" t="str">
        <f t="shared" si="1"/>
        <v>-</v>
      </c>
      <c r="G82" s="5" t="str">
        <f t="shared" si="2"/>
        <v>meta</v>
      </c>
      <c r="H82" s="83"/>
      <c r="I82" s="62" t="str">
        <f t="shared" si="10"/>
        <v/>
      </c>
      <c r="J82" s="62" t="str">
        <f t="shared" si="3"/>
        <v/>
      </c>
      <c r="K82" s="68" t="str">
        <f t="shared" si="11"/>
        <v/>
      </c>
      <c r="L82" s="64"/>
      <c r="M82" s="65">
        <f t="shared" si="4"/>
        <v>787.409172</v>
      </c>
      <c r="N82" s="65">
        <f t="shared" si="5"/>
        <v>1590.113993</v>
      </c>
      <c r="O82" s="65">
        <f t="shared" si="6"/>
        <v>2512.763213</v>
      </c>
      <c r="P82" s="4"/>
      <c r="Q82" s="4"/>
      <c r="R82" s="4"/>
      <c r="S82" s="4"/>
      <c r="T82" s="4"/>
      <c r="U82" s="4"/>
      <c r="V82" s="8">
        <f t="shared" si="12"/>
        <v>4312.822001</v>
      </c>
      <c r="W82" s="5" t="str">
        <f t="shared" si="7"/>
        <v>meta</v>
      </c>
      <c r="X82" s="67"/>
      <c r="Y82" s="4"/>
      <c r="Z82" s="4"/>
      <c r="AA82" s="4"/>
    </row>
    <row r="83" ht="19.5" customHeight="1">
      <c r="A83" s="56" t="s">
        <v>28</v>
      </c>
      <c r="B83" s="57">
        <v>64.0</v>
      </c>
      <c r="C83" s="58">
        <f t="shared" si="8"/>
        <v>7161.013974</v>
      </c>
      <c r="D83" s="58">
        <f t="shared" si="9"/>
        <v>767.2514972</v>
      </c>
      <c r="E83" s="59"/>
      <c r="F83" s="60" t="str">
        <f t="shared" si="1"/>
        <v>-</v>
      </c>
      <c r="G83" s="5" t="str">
        <f t="shared" si="2"/>
        <v>meta</v>
      </c>
      <c r="H83" s="83"/>
      <c r="I83" s="62" t="str">
        <f t="shared" si="10"/>
        <v/>
      </c>
      <c r="J83" s="62" t="str">
        <f t="shared" si="3"/>
        <v/>
      </c>
      <c r="K83" s="68" t="str">
        <f t="shared" si="11"/>
        <v/>
      </c>
      <c r="L83" s="64"/>
      <c r="M83" s="65">
        <f t="shared" si="4"/>
        <v>881.8982726</v>
      </c>
      <c r="N83" s="65">
        <f t="shared" si="5"/>
        <v>1780.927673</v>
      </c>
      <c r="O83" s="65">
        <f t="shared" si="6"/>
        <v>2814.294799</v>
      </c>
      <c r="P83" s="4"/>
      <c r="Q83" s="4"/>
      <c r="R83" s="4"/>
      <c r="S83" s="4"/>
      <c r="T83" s="4"/>
      <c r="U83" s="4"/>
      <c r="V83" s="8">
        <f t="shared" si="12"/>
        <v>4830.360641</v>
      </c>
      <c r="W83" s="5" t="str">
        <f t="shared" si="7"/>
        <v>meta</v>
      </c>
      <c r="X83" s="67"/>
      <c r="Y83" s="4"/>
      <c r="Z83" s="4"/>
      <c r="AA83" s="4"/>
    </row>
    <row r="84" ht="19.5" customHeight="1">
      <c r="A84" s="56" t="s">
        <v>28</v>
      </c>
      <c r="B84" s="57">
        <v>65.0</v>
      </c>
      <c r="C84" s="58">
        <f t="shared" si="8"/>
        <v>8020.335651</v>
      </c>
      <c r="D84" s="58">
        <f t="shared" si="9"/>
        <v>859.3216769</v>
      </c>
      <c r="E84" s="59"/>
      <c r="F84" s="60" t="str">
        <f t="shared" si="1"/>
        <v>-</v>
      </c>
      <c r="G84" s="5" t="str">
        <f t="shared" si="2"/>
        <v>meta</v>
      </c>
      <c r="H84" s="83"/>
      <c r="I84" s="62" t="str">
        <f t="shared" si="10"/>
        <v/>
      </c>
      <c r="J84" s="62" t="str">
        <f t="shared" si="3"/>
        <v/>
      </c>
      <c r="K84" s="68" t="str">
        <f t="shared" si="11"/>
        <v/>
      </c>
      <c r="L84" s="64"/>
      <c r="M84" s="65"/>
      <c r="N84" s="65"/>
      <c r="O84" s="65"/>
      <c r="P84" s="4"/>
      <c r="Q84" s="4"/>
      <c r="R84" s="4"/>
      <c r="S84" s="4"/>
      <c r="T84" s="4"/>
      <c r="U84" s="4"/>
      <c r="V84" s="8">
        <f t="shared" si="12"/>
        <v>5410.003918</v>
      </c>
      <c r="W84" s="5" t="str">
        <f t="shared" si="7"/>
        <v>meta</v>
      </c>
      <c r="X84" s="67"/>
      <c r="Y84" s="4"/>
      <c r="Z84" s="4"/>
      <c r="AA84" s="4"/>
    </row>
    <row r="85" ht="19.5" customHeight="1">
      <c r="A85" s="56" t="s">
        <v>28</v>
      </c>
      <c r="B85" s="57">
        <v>66.0</v>
      </c>
      <c r="C85" s="58">
        <f t="shared" si="8"/>
        <v>8982.775929</v>
      </c>
      <c r="D85" s="58">
        <f t="shared" si="9"/>
        <v>962.4402781</v>
      </c>
      <c r="E85" s="59"/>
      <c r="F85" s="60" t="str">
        <f t="shared" si="1"/>
        <v>-</v>
      </c>
      <c r="G85" s="5" t="str">
        <f t="shared" si="2"/>
        <v>meta</v>
      </c>
      <c r="H85" s="83"/>
      <c r="I85" s="62" t="str">
        <f t="shared" si="10"/>
        <v/>
      </c>
      <c r="J85" s="62" t="str">
        <f t="shared" si="3"/>
        <v/>
      </c>
      <c r="K85" s="68" t="str">
        <f t="shared" si="11"/>
        <v/>
      </c>
      <c r="L85" s="64"/>
      <c r="M85" s="65"/>
      <c r="N85" s="65"/>
      <c r="O85" s="65"/>
      <c r="P85" s="4"/>
      <c r="Q85" s="4"/>
      <c r="R85" s="4"/>
      <c r="S85" s="4"/>
      <c r="T85" s="4"/>
      <c r="U85" s="4"/>
      <c r="V85" s="8">
        <f t="shared" si="12"/>
        <v>6059.204388</v>
      </c>
      <c r="W85" s="5" t="str">
        <f t="shared" si="7"/>
        <v>meta</v>
      </c>
      <c r="X85" s="67"/>
      <c r="Y85" s="4"/>
      <c r="Z85" s="4"/>
      <c r="AA85" s="4"/>
    </row>
    <row r="86" ht="19.5" customHeight="1">
      <c r="A86" s="56" t="s">
        <v>28</v>
      </c>
      <c r="B86" s="57">
        <v>67.0</v>
      </c>
      <c r="C86" s="58">
        <f t="shared" si="8"/>
        <v>10060.70904</v>
      </c>
      <c r="D86" s="58">
        <f t="shared" si="9"/>
        <v>1077.933111</v>
      </c>
      <c r="E86" s="59"/>
      <c r="F86" s="60" t="str">
        <f t="shared" si="1"/>
        <v>-</v>
      </c>
      <c r="G86" s="5" t="str">
        <f t="shared" si="2"/>
        <v>nops</v>
      </c>
      <c r="H86" s="83"/>
      <c r="I86" s="62" t="str">
        <f t="shared" si="10"/>
        <v/>
      </c>
      <c r="J86" s="62" t="str">
        <f t="shared" si="3"/>
        <v/>
      </c>
      <c r="K86" s="68" t="str">
        <f t="shared" si="11"/>
        <v/>
      </c>
      <c r="L86" s="64"/>
      <c r="M86" s="65"/>
      <c r="N86" s="65"/>
      <c r="O86" s="65"/>
      <c r="P86" s="4"/>
      <c r="Q86" s="4"/>
      <c r="R86" s="4"/>
      <c r="S86" s="4"/>
      <c r="T86" s="4"/>
      <c r="U86" s="4"/>
      <c r="V86" s="8">
        <f t="shared" si="12"/>
        <v>6786.308915</v>
      </c>
      <c r="W86" s="5" t="str">
        <f t="shared" si="7"/>
        <v>meta</v>
      </c>
      <c r="X86" s="67"/>
      <c r="Y86" s="4"/>
      <c r="Z86" s="4"/>
      <c r="AA86" s="4"/>
    </row>
    <row r="87" ht="19.5" customHeight="1">
      <c r="A87" s="56" t="s">
        <v>28</v>
      </c>
      <c r="B87" s="57">
        <v>68.0</v>
      </c>
      <c r="C87" s="58">
        <f t="shared" si="8"/>
        <v>11267.99413</v>
      </c>
      <c r="D87" s="58">
        <f t="shared" si="9"/>
        <v>1207.285085</v>
      </c>
      <c r="E87" s="59"/>
      <c r="F87" s="60" t="str">
        <f t="shared" si="1"/>
        <v>-</v>
      </c>
      <c r="G87" s="5" t="str">
        <f t="shared" si="2"/>
        <v>nops</v>
      </c>
      <c r="H87" s="83"/>
      <c r="I87" s="62" t="str">
        <f t="shared" si="10"/>
        <v/>
      </c>
      <c r="J87" s="62" t="str">
        <f t="shared" si="3"/>
        <v/>
      </c>
      <c r="K87" s="68" t="str">
        <f t="shared" si="11"/>
        <v/>
      </c>
      <c r="L87" s="64"/>
      <c r="M87" s="65"/>
      <c r="N87" s="65"/>
      <c r="O87" s="65"/>
      <c r="P87" s="4"/>
      <c r="Q87" s="4"/>
      <c r="R87" s="4"/>
      <c r="S87" s="4"/>
      <c r="T87" s="4"/>
      <c r="U87" s="4"/>
      <c r="V87" s="8">
        <f t="shared" si="12"/>
        <v>7600.665984</v>
      </c>
      <c r="W87" s="5" t="str">
        <f t="shared" si="7"/>
        <v>meta</v>
      </c>
      <c r="X87" s="67"/>
      <c r="Y87" s="4"/>
      <c r="Z87" s="4"/>
      <c r="AA87" s="4"/>
    </row>
    <row r="88" ht="19.5" customHeight="1">
      <c r="A88" s="56" t="s">
        <v>28</v>
      </c>
      <c r="B88" s="57">
        <v>69.0</v>
      </c>
      <c r="C88" s="58">
        <f t="shared" si="8"/>
        <v>12620.15342</v>
      </c>
      <c r="D88" s="58">
        <f t="shared" si="9"/>
        <v>1352.159295</v>
      </c>
      <c r="E88" s="59"/>
      <c r="F88" s="60" t="str">
        <f t="shared" si="1"/>
        <v>-</v>
      </c>
      <c r="G88" s="5" t="str">
        <f t="shared" si="2"/>
        <v>nops</v>
      </c>
      <c r="H88" s="83"/>
      <c r="I88" s="62" t="str">
        <f t="shared" si="10"/>
        <v/>
      </c>
      <c r="J88" s="62" t="str">
        <f t="shared" si="3"/>
        <v/>
      </c>
      <c r="K88" s="68" t="str">
        <f t="shared" si="11"/>
        <v/>
      </c>
      <c r="L88" s="64"/>
      <c r="M88" s="65"/>
      <c r="N88" s="65"/>
      <c r="O88" s="65"/>
      <c r="P88" s="4"/>
      <c r="Q88" s="4"/>
      <c r="R88" s="4"/>
      <c r="S88" s="4"/>
      <c r="T88" s="4"/>
      <c r="U88" s="4"/>
      <c r="V88" s="8">
        <f t="shared" si="12"/>
        <v>8512.745902</v>
      </c>
      <c r="W88" s="5" t="str">
        <f t="shared" si="7"/>
        <v>meta</v>
      </c>
      <c r="X88" s="67"/>
      <c r="Y88" s="4"/>
      <c r="Z88" s="4"/>
      <c r="AA88" s="4"/>
    </row>
    <row r="89" ht="19.5" customHeight="1">
      <c r="A89" s="56" t="s">
        <v>28</v>
      </c>
      <c r="B89" s="57">
        <v>70.0</v>
      </c>
      <c r="C89" s="58">
        <f t="shared" si="8"/>
        <v>14134.57183</v>
      </c>
      <c r="D89" s="58">
        <f t="shared" si="9"/>
        <v>1514.41841</v>
      </c>
      <c r="E89" s="59"/>
      <c r="F89" s="60" t="str">
        <f t="shared" si="1"/>
        <v>-</v>
      </c>
      <c r="G89" s="5" t="str">
        <f t="shared" si="2"/>
        <v>nops</v>
      </c>
      <c r="H89" s="83"/>
      <c r="I89" s="62" t="str">
        <f t="shared" si="10"/>
        <v/>
      </c>
      <c r="J89" s="62" t="str">
        <f t="shared" si="3"/>
        <v/>
      </c>
      <c r="K89" s="68" t="str">
        <f t="shared" si="11"/>
        <v/>
      </c>
      <c r="L89" s="64"/>
      <c r="M89" s="65"/>
      <c r="N89" s="65"/>
      <c r="O89" s="65"/>
      <c r="P89" s="4"/>
      <c r="Q89" s="4"/>
      <c r="R89" s="4"/>
      <c r="S89" s="4"/>
      <c r="T89" s="4"/>
      <c r="U89" s="4"/>
      <c r="V89" s="8">
        <f t="shared" si="12"/>
        <v>9534.275411</v>
      </c>
      <c r="W89" s="5" t="str">
        <f t="shared" si="7"/>
        <v>meta</v>
      </c>
      <c r="X89" s="67"/>
      <c r="Y89" s="4"/>
      <c r="Z89" s="4"/>
      <c r="AA89" s="4"/>
    </row>
    <row r="90" ht="19.5" customHeight="1">
      <c r="A90" s="56" t="s">
        <v>28</v>
      </c>
      <c r="B90" s="57">
        <v>71.0</v>
      </c>
      <c r="C90" s="58">
        <f t="shared" si="8"/>
        <v>15830.72045</v>
      </c>
      <c r="D90" s="58">
        <f t="shared" si="9"/>
        <v>1696.14862</v>
      </c>
      <c r="E90" s="59"/>
      <c r="F90" s="60" t="str">
        <f t="shared" si="1"/>
        <v>-</v>
      </c>
      <c r="G90" s="5" t="str">
        <f t="shared" si="2"/>
        <v>nops</v>
      </c>
      <c r="H90" s="83"/>
      <c r="I90" s="62" t="str">
        <f t="shared" si="10"/>
        <v/>
      </c>
      <c r="J90" s="62" t="str">
        <f t="shared" si="3"/>
        <v/>
      </c>
      <c r="K90" s="68" t="str">
        <f t="shared" si="11"/>
        <v/>
      </c>
      <c r="L90" s="64"/>
      <c r="M90" s="65"/>
      <c r="N90" s="65"/>
      <c r="O90" s="65"/>
      <c r="P90" s="4"/>
      <c r="Q90" s="4"/>
      <c r="R90" s="4"/>
      <c r="S90" s="4"/>
      <c r="T90" s="4"/>
      <c r="U90" s="4"/>
      <c r="V90" s="8">
        <f t="shared" si="12"/>
        <v>10678.38846</v>
      </c>
      <c r="W90" s="5" t="str">
        <f t="shared" si="7"/>
        <v>nops</v>
      </c>
      <c r="X90" s="67"/>
      <c r="Y90" s="4"/>
      <c r="Z90" s="4"/>
      <c r="AA90" s="4"/>
    </row>
    <row r="91" ht="19.5" customHeight="1">
      <c r="A91" s="56" t="s">
        <v>28</v>
      </c>
      <c r="B91" s="57">
        <v>72.0</v>
      </c>
      <c r="C91" s="58">
        <f t="shared" si="8"/>
        <v>17730.4069</v>
      </c>
      <c r="D91" s="58">
        <f t="shared" si="9"/>
        <v>1899.686454</v>
      </c>
      <c r="E91" s="59"/>
      <c r="F91" s="60" t="str">
        <f t="shared" si="1"/>
        <v>-</v>
      </c>
      <c r="G91" s="5" t="str">
        <f t="shared" si="2"/>
        <v>nops</v>
      </c>
      <c r="H91" s="83"/>
      <c r="I91" s="62" t="str">
        <f t="shared" si="10"/>
        <v/>
      </c>
      <c r="J91" s="62" t="str">
        <f t="shared" si="3"/>
        <v/>
      </c>
      <c r="K91" s="68" t="str">
        <f t="shared" si="11"/>
        <v/>
      </c>
      <c r="L91" s="64"/>
      <c r="M91" s="65"/>
      <c r="N91" s="65"/>
      <c r="O91" s="65"/>
      <c r="P91" s="4"/>
      <c r="Q91" s="4"/>
      <c r="R91" s="4"/>
      <c r="S91" s="4"/>
      <c r="T91" s="4"/>
      <c r="U91" s="4"/>
      <c r="V91" s="8">
        <f t="shared" si="12"/>
        <v>11959.79508</v>
      </c>
      <c r="W91" s="5" t="str">
        <f t="shared" si="7"/>
        <v>nops</v>
      </c>
      <c r="X91" s="67"/>
      <c r="Y91" s="4"/>
      <c r="Z91" s="4"/>
      <c r="AA91" s="4"/>
    </row>
    <row r="92" ht="19.5" customHeight="1">
      <c r="A92" s="56" t="s">
        <v>28</v>
      </c>
      <c r="B92" s="57">
        <v>73.0</v>
      </c>
      <c r="C92" s="58">
        <f t="shared" si="8"/>
        <v>19858.05573</v>
      </c>
      <c r="D92" s="58">
        <f t="shared" si="9"/>
        <v>2127.648828</v>
      </c>
      <c r="E92" s="59"/>
      <c r="F92" s="60" t="str">
        <f t="shared" si="1"/>
        <v>-</v>
      </c>
      <c r="G92" s="5" t="str">
        <f t="shared" si="2"/>
        <v>nops</v>
      </c>
      <c r="H92" s="83"/>
      <c r="I92" s="62" t="str">
        <f t="shared" si="10"/>
        <v/>
      </c>
      <c r="J92" s="62" t="str">
        <f t="shared" si="3"/>
        <v/>
      </c>
      <c r="K92" s="68" t="str">
        <f t="shared" si="11"/>
        <v/>
      </c>
      <c r="L92" s="64"/>
      <c r="M92" s="65"/>
      <c r="N92" s="65"/>
      <c r="O92" s="65"/>
      <c r="P92" s="4"/>
      <c r="Q92" s="4"/>
      <c r="R92" s="4"/>
      <c r="S92" s="4"/>
      <c r="T92" s="4"/>
      <c r="U92" s="4"/>
      <c r="V92" s="8">
        <f t="shared" si="12"/>
        <v>13394.97048</v>
      </c>
      <c r="W92" s="5" t="str">
        <f t="shared" si="7"/>
        <v>nops</v>
      </c>
      <c r="X92" s="67"/>
      <c r="Y92" s="4"/>
      <c r="Z92" s="4"/>
      <c r="AA92" s="4"/>
    </row>
    <row r="93" ht="19.5" customHeight="1">
      <c r="A93" s="56" t="s">
        <v>28</v>
      </c>
      <c r="B93" s="57">
        <v>74.0</v>
      </c>
      <c r="C93" s="58">
        <f t="shared" si="8"/>
        <v>22241.02242</v>
      </c>
      <c r="D93" s="58">
        <f t="shared" si="9"/>
        <v>2382.966688</v>
      </c>
      <c r="E93" s="59"/>
      <c r="F93" s="60" t="str">
        <f t="shared" si="1"/>
        <v>-</v>
      </c>
      <c r="G93" s="5" t="str">
        <f t="shared" si="2"/>
        <v>nops</v>
      </c>
      <c r="H93" s="83"/>
      <c r="I93" s="62" t="str">
        <f t="shared" si="10"/>
        <v/>
      </c>
      <c r="J93" s="62" t="str">
        <f t="shared" si="3"/>
        <v/>
      </c>
      <c r="K93" s="68" t="str">
        <f t="shared" si="11"/>
        <v/>
      </c>
      <c r="L93" s="64"/>
      <c r="M93" s="65"/>
      <c r="N93" s="65"/>
      <c r="O93" s="65"/>
      <c r="P93" s="4"/>
      <c r="Q93" s="4"/>
      <c r="R93" s="4"/>
      <c r="S93" s="4"/>
      <c r="T93" s="4"/>
      <c r="U93" s="4"/>
      <c r="V93" s="8">
        <f t="shared" si="12"/>
        <v>15002.36694</v>
      </c>
      <c r="W93" s="5" t="str">
        <f t="shared" si="7"/>
        <v>nops</v>
      </c>
      <c r="X93" s="67"/>
      <c r="Y93" s="4"/>
      <c r="Z93" s="4"/>
      <c r="AA93" s="4"/>
    </row>
    <row r="94" ht="19.5" customHeight="1">
      <c r="A94" s="56" t="s">
        <v>28</v>
      </c>
      <c r="B94" s="57">
        <v>75.0</v>
      </c>
      <c r="C94" s="58">
        <f t="shared" si="8"/>
        <v>24909.94511</v>
      </c>
      <c r="D94" s="58">
        <f t="shared" si="9"/>
        <v>2668.92269</v>
      </c>
      <c r="E94" s="59"/>
      <c r="F94" s="60" t="str">
        <f t="shared" si="1"/>
        <v>-</v>
      </c>
      <c r="G94" s="5" t="str">
        <f t="shared" si="2"/>
        <v>nops</v>
      </c>
      <c r="H94" s="83"/>
      <c r="I94" s="62" t="str">
        <f t="shared" si="10"/>
        <v/>
      </c>
      <c r="J94" s="62" t="str">
        <f t="shared" si="3"/>
        <v/>
      </c>
      <c r="K94" s="68" t="str">
        <f t="shared" si="11"/>
        <v/>
      </c>
      <c r="L94" s="64"/>
      <c r="M94" s="65"/>
      <c r="N94" s="65"/>
      <c r="O94" s="65"/>
      <c r="P94" s="4"/>
      <c r="Q94" s="4"/>
      <c r="R94" s="4"/>
      <c r="S94" s="4"/>
      <c r="T94" s="4"/>
      <c r="U94" s="4"/>
      <c r="V94" s="8">
        <f t="shared" si="12"/>
        <v>16802.65098</v>
      </c>
      <c r="W94" s="5" t="str">
        <f t="shared" si="7"/>
        <v>nops</v>
      </c>
      <c r="X94" s="67"/>
      <c r="Y94" s="4"/>
      <c r="Z94" s="4"/>
      <c r="AA94" s="4"/>
    </row>
    <row r="95" ht="19.5" customHeight="1">
      <c r="A95" s="56" t="s">
        <v>28</v>
      </c>
      <c r="B95" s="57">
        <v>76.0</v>
      </c>
      <c r="C95" s="58">
        <f t="shared" si="8"/>
        <v>27899.13852</v>
      </c>
      <c r="D95" s="58">
        <f t="shared" si="9"/>
        <v>2989.193413</v>
      </c>
      <c r="E95" s="59"/>
      <c r="F95" s="60" t="str">
        <f t="shared" si="1"/>
        <v>-</v>
      </c>
      <c r="G95" s="5" t="str">
        <f t="shared" si="2"/>
        <v>nops</v>
      </c>
      <c r="H95" s="83"/>
      <c r="I95" s="62" t="str">
        <f t="shared" si="10"/>
        <v/>
      </c>
      <c r="J95" s="62" t="str">
        <f t="shared" si="3"/>
        <v/>
      </c>
      <c r="K95" s="68" t="str">
        <f t="shared" si="11"/>
        <v/>
      </c>
      <c r="L95" s="64"/>
      <c r="M95" s="65"/>
      <c r="N95" s="65"/>
      <c r="O95" s="65"/>
      <c r="P95" s="4"/>
      <c r="Q95" s="4"/>
      <c r="R95" s="4"/>
      <c r="S95" s="4"/>
      <c r="T95" s="4"/>
      <c r="U95" s="4"/>
      <c r="V95" s="8">
        <f t="shared" si="12"/>
        <v>18818.96909</v>
      </c>
      <c r="W95" s="5" t="str">
        <f t="shared" si="7"/>
        <v>nops</v>
      </c>
      <c r="X95" s="67"/>
      <c r="Y95" s="4"/>
      <c r="Z95" s="4"/>
      <c r="AA95" s="4"/>
    </row>
    <row r="96" ht="19.5" customHeight="1">
      <c r="A96" s="56" t="s">
        <v>28</v>
      </c>
      <c r="B96" s="57">
        <v>77.0</v>
      </c>
      <c r="C96" s="58">
        <f t="shared" si="8"/>
        <v>31247.03515</v>
      </c>
      <c r="D96" s="58">
        <f t="shared" si="9"/>
        <v>3347.896623</v>
      </c>
      <c r="E96" s="59"/>
      <c r="F96" s="60" t="str">
        <f t="shared" si="1"/>
        <v>-</v>
      </c>
      <c r="G96" s="5" t="str">
        <f t="shared" si="2"/>
        <v>nops</v>
      </c>
      <c r="H96" s="83"/>
      <c r="I96" s="62" t="str">
        <f t="shared" si="10"/>
        <v/>
      </c>
      <c r="J96" s="62" t="str">
        <f t="shared" si="3"/>
        <v/>
      </c>
      <c r="K96" s="68" t="str">
        <f t="shared" si="11"/>
        <v/>
      </c>
      <c r="L96" s="64"/>
      <c r="M96" s="65"/>
      <c r="N96" s="65"/>
      <c r="O96" s="65"/>
      <c r="P96" s="4"/>
      <c r="Q96" s="4"/>
      <c r="R96" s="4"/>
      <c r="S96" s="4"/>
      <c r="T96" s="4"/>
      <c r="U96" s="4"/>
      <c r="V96" s="8">
        <f t="shared" si="12"/>
        <v>21077.24538</v>
      </c>
      <c r="W96" s="5" t="str">
        <f t="shared" si="7"/>
        <v>nops</v>
      </c>
      <c r="X96" s="67"/>
      <c r="Y96" s="4"/>
      <c r="Z96" s="4"/>
      <c r="AA96" s="4"/>
    </row>
    <row r="97" ht="19.5" customHeight="1">
      <c r="A97" s="56" t="s">
        <v>28</v>
      </c>
      <c r="B97" s="57">
        <v>78.0</v>
      </c>
      <c r="C97" s="58">
        <f t="shared" si="8"/>
        <v>34996.67936</v>
      </c>
      <c r="D97" s="58">
        <f t="shared" si="9"/>
        <v>3749.644218</v>
      </c>
      <c r="E97" s="59"/>
      <c r="F97" s="60" t="str">
        <f t="shared" si="1"/>
        <v>-</v>
      </c>
      <c r="G97" s="5" t="str">
        <f t="shared" si="2"/>
        <v>nops</v>
      </c>
      <c r="H97" s="83"/>
      <c r="I97" s="62" t="str">
        <f t="shared" si="10"/>
        <v/>
      </c>
      <c r="J97" s="62" t="str">
        <f t="shared" si="3"/>
        <v/>
      </c>
      <c r="K97" s="68" t="str">
        <f t="shared" si="11"/>
        <v/>
      </c>
      <c r="L97" s="64"/>
      <c r="M97" s="65"/>
      <c r="N97" s="65"/>
      <c r="O97" s="65"/>
      <c r="P97" s="4"/>
      <c r="Q97" s="4"/>
      <c r="R97" s="4"/>
      <c r="S97" s="4"/>
      <c r="T97" s="4"/>
      <c r="U97" s="4"/>
      <c r="V97" s="8">
        <f t="shared" si="12"/>
        <v>23606.51483</v>
      </c>
      <c r="W97" s="5" t="str">
        <f t="shared" si="7"/>
        <v>nops</v>
      </c>
      <c r="X97" s="67"/>
      <c r="Y97" s="4"/>
      <c r="Z97" s="4"/>
      <c r="AA97" s="4"/>
    </row>
    <row r="98" ht="19.5" customHeight="1">
      <c r="A98" s="56" t="s">
        <v>28</v>
      </c>
      <c r="B98" s="57">
        <v>79.0</v>
      </c>
      <c r="C98" s="58">
        <f t="shared" si="8"/>
        <v>39196.28089</v>
      </c>
      <c r="D98" s="58">
        <f t="shared" si="9"/>
        <v>4199.601524</v>
      </c>
      <c r="E98" s="59"/>
      <c r="F98" s="60" t="str">
        <f t="shared" si="1"/>
        <v>-</v>
      </c>
      <c r="G98" s="5" t="str">
        <f t="shared" si="2"/>
        <v>nops</v>
      </c>
      <c r="H98" s="83"/>
      <c r="I98" s="62" t="str">
        <f t="shared" si="10"/>
        <v/>
      </c>
      <c r="J98" s="62" t="str">
        <f t="shared" si="3"/>
        <v/>
      </c>
      <c r="K98" s="68" t="str">
        <f t="shared" si="11"/>
        <v/>
      </c>
      <c r="L98" s="64"/>
      <c r="M98" s="65"/>
      <c r="N98" s="65"/>
      <c r="O98" s="65"/>
      <c r="P98" s="4"/>
      <c r="Q98" s="4"/>
      <c r="R98" s="4"/>
      <c r="S98" s="4"/>
      <c r="T98" s="4"/>
      <c r="U98" s="4"/>
      <c r="V98" s="8">
        <f t="shared" si="12"/>
        <v>26439.29661</v>
      </c>
      <c r="W98" s="5" t="str">
        <f t="shared" si="7"/>
        <v>nops</v>
      </c>
      <c r="X98" s="67"/>
      <c r="Y98" s="4"/>
      <c r="Z98" s="4"/>
      <c r="AA98" s="4"/>
    </row>
    <row r="99" ht="19.5" customHeight="1">
      <c r="A99" s="56" t="s">
        <v>28</v>
      </c>
      <c r="B99" s="57">
        <v>80.0</v>
      </c>
      <c r="C99" s="58">
        <f t="shared" si="8"/>
        <v>43899.8346</v>
      </c>
      <c r="D99" s="58">
        <f t="shared" si="9"/>
        <v>4703.553707</v>
      </c>
      <c r="E99" s="59"/>
      <c r="F99" s="60" t="str">
        <f t="shared" si="1"/>
        <v>-</v>
      </c>
      <c r="G99" s="5" t="str">
        <f t="shared" si="2"/>
        <v>nops</v>
      </c>
      <c r="H99" s="83"/>
      <c r="I99" s="62" t="str">
        <f t="shared" si="10"/>
        <v/>
      </c>
      <c r="J99" s="62" t="str">
        <f t="shared" si="3"/>
        <v/>
      </c>
      <c r="K99" s="68" t="str">
        <f t="shared" si="11"/>
        <v/>
      </c>
      <c r="L99" s="64"/>
      <c r="M99" s="65"/>
      <c r="N99" s="65"/>
      <c r="O99" s="65"/>
      <c r="P99" s="4"/>
      <c r="Q99" s="4"/>
      <c r="R99" s="4"/>
      <c r="S99" s="4"/>
      <c r="T99" s="4"/>
      <c r="U99" s="4"/>
      <c r="V99" s="8">
        <f t="shared" si="12"/>
        <v>29612.0122</v>
      </c>
      <c r="W99" s="5" t="str">
        <f t="shared" si="7"/>
        <v>nops</v>
      </c>
      <c r="X99" s="67"/>
      <c r="Y99" s="4"/>
      <c r="Z99" s="4"/>
      <c r="AA99" s="4"/>
    </row>
    <row r="100" ht="19.5" customHeight="1">
      <c r="A100" s="56" t="s">
        <v>28</v>
      </c>
      <c r="B100" s="57">
        <v>81.0</v>
      </c>
      <c r="C100" s="58">
        <f t="shared" si="8"/>
        <v>49167.81475</v>
      </c>
      <c r="D100" s="58">
        <f t="shared" si="9"/>
        <v>5267.980151</v>
      </c>
      <c r="E100" s="59"/>
      <c r="F100" s="60" t="str">
        <f t="shared" si="1"/>
        <v>-</v>
      </c>
      <c r="G100" s="5" t="str">
        <f t="shared" si="2"/>
        <v>nops</v>
      </c>
      <c r="H100" s="83"/>
      <c r="I100" s="62" t="str">
        <f t="shared" si="10"/>
        <v/>
      </c>
      <c r="J100" s="62" t="str">
        <f t="shared" si="3"/>
        <v/>
      </c>
      <c r="K100" s="68" t="str">
        <f t="shared" si="11"/>
        <v/>
      </c>
      <c r="L100" s="64"/>
      <c r="M100" s="65"/>
      <c r="N100" s="65"/>
      <c r="O100" s="65"/>
      <c r="P100" s="4"/>
      <c r="Q100" s="4"/>
      <c r="R100" s="4"/>
      <c r="S100" s="4"/>
      <c r="T100" s="4"/>
      <c r="U100" s="4"/>
      <c r="V100" s="8">
        <f t="shared" si="12"/>
        <v>33165.45367</v>
      </c>
      <c r="W100" s="5" t="str">
        <f t="shared" si="7"/>
        <v>nops</v>
      </c>
      <c r="X100" s="67"/>
      <c r="Y100" s="4"/>
      <c r="Z100" s="4"/>
      <c r="AA100" s="4"/>
    </row>
    <row r="101" ht="19.5" customHeight="1">
      <c r="A101" s="56" t="s">
        <v>28</v>
      </c>
      <c r="B101" s="57">
        <v>82.0</v>
      </c>
      <c r="C101" s="58">
        <f t="shared" si="8"/>
        <v>55067.95252</v>
      </c>
      <c r="D101" s="58">
        <f t="shared" si="9"/>
        <v>5900.13777</v>
      </c>
      <c r="E101" s="59"/>
      <c r="F101" s="60" t="str">
        <f t="shared" si="1"/>
        <v>-</v>
      </c>
      <c r="G101" s="5" t="str">
        <f t="shared" si="2"/>
        <v>nops</v>
      </c>
      <c r="H101" s="83"/>
      <c r="I101" s="62" t="str">
        <f t="shared" si="10"/>
        <v/>
      </c>
      <c r="J101" s="62" t="str">
        <f t="shared" si="3"/>
        <v/>
      </c>
      <c r="K101" s="68" t="str">
        <f t="shared" si="11"/>
        <v/>
      </c>
      <c r="L101" s="64"/>
      <c r="M101" s="65"/>
      <c r="N101" s="65"/>
      <c r="O101" s="65"/>
      <c r="P101" s="4"/>
      <c r="Q101" s="4"/>
      <c r="R101" s="4"/>
      <c r="S101" s="4"/>
      <c r="T101" s="4"/>
      <c r="U101" s="4"/>
      <c r="V101" s="8">
        <f t="shared" si="12"/>
        <v>37145.30811</v>
      </c>
      <c r="W101" s="5" t="str">
        <f t="shared" si="7"/>
        <v>nops</v>
      </c>
      <c r="X101" s="67"/>
      <c r="Y101" s="4"/>
      <c r="Z101" s="4"/>
      <c r="AA101" s="4"/>
    </row>
    <row r="102" ht="19.5" customHeight="1">
      <c r="A102" s="56" t="s">
        <v>28</v>
      </c>
      <c r="B102" s="57">
        <v>83.0</v>
      </c>
      <c r="C102" s="58">
        <f t="shared" si="8"/>
        <v>61676.10682</v>
      </c>
      <c r="D102" s="58">
        <f t="shared" si="9"/>
        <v>6608.154302</v>
      </c>
      <c r="E102" s="59"/>
      <c r="F102" s="60" t="str">
        <f t="shared" si="1"/>
        <v>-</v>
      </c>
      <c r="G102" s="5" t="str">
        <f t="shared" si="2"/>
        <v>nops</v>
      </c>
      <c r="H102" s="83"/>
      <c r="I102" s="62" t="str">
        <f t="shared" si="10"/>
        <v/>
      </c>
      <c r="J102" s="62" t="str">
        <f t="shared" si="3"/>
        <v/>
      </c>
      <c r="K102" s="68" t="str">
        <f t="shared" si="11"/>
        <v/>
      </c>
      <c r="L102" s="64"/>
      <c r="M102" s="65"/>
      <c r="N102" s="65"/>
      <c r="O102" s="65"/>
      <c r="P102" s="4"/>
      <c r="Q102" s="4"/>
      <c r="R102" s="4"/>
      <c r="S102" s="4"/>
      <c r="T102" s="4"/>
      <c r="U102" s="4"/>
      <c r="V102" s="8">
        <f t="shared" si="12"/>
        <v>41602.74508</v>
      </c>
      <c r="W102" s="5" t="str">
        <f t="shared" si="7"/>
        <v>nops</v>
      </c>
      <c r="X102" s="67"/>
      <c r="Y102" s="4"/>
      <c r="Z102" s="4"/>
      <c r="AA102" s="4"/>
    </row>
    <row r="103" ht="19.5" customHeight="1">
      <c r="A103" s="56" t="s">
        <v>28</v>
      </c>
      <c r="B103" s="57">
        <v>84.0</v>
      </c>
      <c r="C103" s="58">
        <f t="shared" si="8"/>
        <v>69077.23964</v>
      </c>
      <c r="D103" s="58">
        <f t="shared" si="9"/>
        <v>7401.132818</v>
      </c>
      <c r="E103" s="59"/>
      <c r="F103" s="60" t="str">
        <f t="shared" si="1"/>
        <v>-</v>
      </c>
      <c r="G103" s="5" t="str">
        <f t="shared" si="2"/>
        <v>nops</v>
      </c>
      <c r="H103" s="83"/>
      <c r="I103" s="62" t="str">
        <f t="shared" si="10"/>
        <v/>
      </c>
      <c r="J103" s="62" t="str">
        <f t="shared" si="3"/>
        <v/>
      </c>
      <c r="K103" s="68" t="str">
        <f t="shared" si="11"/>
        <v/>
      </c>
      <c r="L103" s="64"/>
      <c r="M103" s="65"/>
      <c r="N103" s="65"/>
      <c r="O103" s="65"/>
      <c r="P103" s="4"/>
      <c r="Q103" s="4"/>
      <c r="R103" s="4"/>
      <c r="S103" s="4"/>
      <c r="T103" s="4"/>
      <c r="U103" s="4"/>
      <c r="V103" s="8">
        <f t="shared" si="12"/>
        <v>46595.07449</v>
      </c>
      <c r="W103" s="5" t="str">
        <f t="shared" si="7"/>
        <v>nops</v>
      </c>
      <c r="X103" s="67"/>
      <c r="Y103" s="4"/>
      <c r="Z103" s="4"/>
      <c r="AA103" s="4"/>
    </row>
    <row r="104" ht="19.5" customHeight="1">
      <c r="A104" s="56" t="s">
        <v>28</v>
      </c>
      <c r="B104" s="57">
        <v>85.0</v>
      </c>
      <c r="C104" s="58">
        <f t="shared" si="8"/>
        <v>77366.50839</v>
      </c>
      <c r="D104" s="58">
        <f t="shared" si="9"/>
        <v>8289.268756</v>
      </c>
      <c r="E104" s="59"/>
      <c r="F104" s="60" t="str">
        <f t="shared" si="1"/>
        <v>-</v>
      </c>
      <c r="G104" s="5" t="str">
        <f t="shared" si="2"/>
        <v>nops</v>
      </c>
      <c r="H104" s="83"/>
      <c r="I104" s="62" t="str">
        <f t="shared" si="10"/>
        <v/>
      </c>
      <c r="J104" s="62" t="str">
        <f t="shared" si="3"/>
        <v/>
      </c>
      <c r="K104" s="68" t="str">
        <f t="shared" si="11"/>
        <v/>
      </c>
      <c r="L104" s="64"/>
      <c r="M104" s="65"/>
      <c r="N104" s="65"/>
      <c r="O104" s="65"/>
      <c r="P104" s="4"/>
      <c r="Q104" s="4"/>
      <c r="R104" s="4"/>
      <c r="S104" s="4"/>
      <c r="T104" s="4"/>
      <c r="U104" s="4"/>
      <c r="V104" s="8">
        <f t="shared" si="12"/>
        <v>52186.48343</v>
      </c>
      <c r="W104" s="5" t="str">
        <f t="shared" si="7"/>
        <v>nops</v>
      </c>
      <c r="X104" s="67"/>
      <c r="Y104" s="4"/>
      <c r="Z104" s="4"/>
      <c r="AA104" s="4"/>
    </row>
    <row r="105" ht="19.5" customHeight="1">
      <c r="A105" s="56" t="s">
        <v>28</v>
      </c>
      <c r="B105" s="57">
        <v>86.0</v>
      </c>
      <c r="C105" s="58">
        <f t="shared" si="8"/>
        <v>86650.4894</v>
      </c>
      <c r="D105" s="58">
        <f t="shared" si="9"/>
        <v>9283.981007</v>
      </c>
      <c r="E105" s="59"/>
      <c r="F105" s="60" t="str">
        <f t="shared" si="1"/>
        <v>-</v>
      </c>
      <c r="G105" s="5" t="str">
        <f t="shared" si="2"/>
        <v>nops</v>
      </c>
      <c r="H105" s="83"/>
      <c r="I105" s="62" t="str">
        <f t="shared" si="10"/>
        <v/>
      </c>
      <c r="J105" s="62" t="str">
        <f t="shared" si="3"/>
        <v/>
      </c>
      <c r="K105" s="68" t="str">
        <f t="shared" si="11"/>
        <v/>
      </c>
      <c r="L105" s="64"/>
      <c r="M105" s="65"/>
      <c r="N105" s="65"/>
      <c r="O105" s="65"/>
      <c r="P105" s="4"/>
      <c r="Q105" s="4"/>
      <c r="R105" s="4"/>
      <c r="S105" s="4"/>
      <c r="T105" s="4"/>
      <c r="U105" s="4"/>
      <c r="V105" s="8">
        <f t="shared" si="12"/>
        <v>58448.86144</v>
      </c>
      <c r="W105" s="5" t="str">
        <f t="shared" si="7"/>
        <v>nops</v>
      </c>
      <c r="X105" s="67"/>
      <c r="Y105" s="4"/>
      <c r="Z105" s="4"/>
      <c r="AA105" s="4"/>
    </row>
    <row r="106" ht="19.5" customHeight="1">
      <c r="A106" s="56" t="s">
        <v>28</v>
      </c>
      <c r="B106" s="57">
        <v>87.0</v>
      </c>
      <c r="C106" s="58">
        <f t="shared" si="8"/>
        <v>97048.54813</v>
      </c>
      <c r="D106" s="58">
        <f t="shared" si="9"/>
        <v>10398.05873</v>
      </c>
      <c r="E106" s="59"/>
      <c r="F106" s="60" t="str">
        <f t="shared" si="1"/>
        <v>-</v>
      </c>
      <c r="G106" s="5" t="str">
        <f t="shared" si="2"/>
        <v>nops</v>
      </c>
      <c r="H106" s="83"/>
      <c r="I106" s="62" t="str">
        <f t="shared" si="10"/>
        <v/>
      </c>
      <c r="J106" s="62" t="str">
        <f t="shared" si="3"/>
        <v/>
      </c>
      <c r="K106" s="68" t="str">
        <f t="shared" si="11"/>
        <v/>
      </c>
      <c r="L106" s="64"/>
      <c r="M106" s="65"/>
      <c r="N106" s="65"/>
      <c r="O106" s="65"/>
      <c r="P106" s="4"/>
      <c r="Q106" s="4"/>
      <c r="R106" s="4"/>
      <c r="S106" s="4"/>
      <c r="T106" s="4"/>
      <c r="U106" s="4"/>
      <c r="V106" s="8">
        <f t="shared" si="12"/>
        <v>65462.72481</v>
      </c>
      <c r="W106" s="5" t="str">
        <f t="shared" si="7"/>
        <v>nops</v>
      </c>
      <c r="X106" s="67"/>
      <c r="Y106" s="4"/>
      <c r="Z106" s="4"/>
      <c r="AA106" s="4"/>
    </row>
    <row r="107" ht="19.5" customHeight="1">
      <c r="A107" s="56" t="s">
        <v>28</v>
      </c>
      <c r="B107" s="57">
        <v>88.0</v>
      </c>
      <c r="C107" s="58">
        <f t="shared" si="8"/>
        <v>108694.3739</v>
      </c>
      <c r="D107" s="58">
        <f t="shared" si="9"/>
        <v>11645.82578</v>
      </c>
      <c r="E107" s="59"/>
      <c r="F107" s="60" t="str">
        <f t="shared" si="1"/>
        <v>-</v>
      </c>
      <c r="G107" s="5" t="str">
        <f t="shared" si="2"/>
        <v>nops</v>
      </c>
      <c r="H107" s="83"/>
      <c r="I107" s="62" t="str">
        <f t="shared" si="10"/>
        <v/>
      </c>
      <c r="J107" s="62" t="str">
        <f t="shared" si="3"/>
        <v/>
      </c>
      <c r="K107" s="68" t="str">
        <f t="shared" si="11"/>
        <v/>
      </c>
      <c r="L107" s="64"/>
      <c r="M107" s="65"/>
      <c r="N107" s="65"/>
      <c r="O107" s="65"/>
      <c r="P107" s="4"/>
      <c r="Q107" s="4"/>
      <c r="R107" s="4"/>
      <c r="S107" s="4"/>
      <c r="T107" s="4"/>
      <c r="U107" s="4"/>
      <c r="V107" s="8">
        <f t="shared" si="12"/>
        <v>73318.25179</v>
      </c>
      <c r="W107" s="5" t="str">
        <f t="shared" si="7"/>
        <v>nops</v>
      </c>
      <c r="X107" s="67"/>
      <c r="Y107" s="4"/>
      <c r="Z107" s="4"/>
      <c r="AA107" s="4"/>
    </row>
    <row r="108" ht="19.5" customHeight="1">
      <c r="A108" s="56" t="s">
        <v>28</v>
      </c>
      <c r="B108" s="57">
        <v>89.0</v>
      </c>
      <c r="C108" s="58">
        <f t="shared" si="8"/>
        <v>121737.6988</v>
      </c>
      <c r="D108" s="58">
        <f t="shared" si="9"/>
        <v>13043.32487</v>
      </c>
      <c r="E108" s="59"/>
      <c r="F108" s="60" t="str">
        <f t="shared" si="1"/>
        <v>-</v>
      </c>
      <c r="G108" s="5" t="str">
        <f t="shared" si="2"/>
        <v>nops</v>
      </c>
      <c r="H108" s="83"/>
      <c r="I108" s="62" t="str">
        <f t="shared" si="10"/>
        <v/>
      </c>
      <c r="J108" s="62" t="str">
        <f t="shared" si="3"/>
        <v/>
      </c>
      <c r="K108" s="68" t="str">
        <f t="shared" si="11"/>
        <v/>
      </c>
      <c r="L108" s="64"/>
      <c r="M108" s="65"/>
      <c r="N108" s="65"/>
      <c r="O108" s="65"/>
      <c r="P108" s="4"/>
      <c r="Q108" s="4"/>
      <c r="R108" s="4"/>
      <c r="S108" s="4"/>
      <c r="T108" s="4"/>
      <c r="U108" s="4"/>
      <c r="V108" s="8">
        <f t="shared" si="12"/>
        <v>82116.442</v>
      </c>
      <c r="W108" s="5" t="str">
        <f t="shared" si="7"/>
        <v>nops</v>
      </c>
      <c r="X108" s="67"/>
      <c r="Y108" s="4"/>
      <c r="Z108" s="4"/>
      <c r="AA108" s="4"/>
    </row>
    <row r="109" ht="19.5" customHeight="1">
      <c r="A109" s="56" t="s">
        <v>28</v>
      </c>
      <c r="B109" s="57">
        <v>90.0</v>
      </c>
      <c r="C109" s="58">
        <f t="shared" si="8"/>
        <v>136346.2226</v>
      </c>
      <c r="D109" s="58">
        <f t="shared" si="9"/>
        <v>14608.52385</v>
      </c>
      <c r="E109" s="59"/>
      <c r="F109" s="60" t="str">
        <f t="shared" si="1"/>
        <v>-</v>
      </c>
      <c r="G109" s="5" t="str">
        <f t="shared" si="2"/>
        <v>nops</v>
      </c>
      <c r="H109" s="83"/>
      <c r="I109" s="62" t="str">
        <f t="shared" si="10"/>
        <v/>
      </c>
      <c r="J109" s="62" t="str">
        <f t="shared" si="3"/>
        <v/>
      </c>
      <c r="K109" s="68" t="str">
        <f t="shared" si="11"/>
        <v/>
      </c>
      <c r="L109" s="64"/>
      <c r="M109" s="65"/>
      <c r="N109" s="65"/>
      <c r="O109" s="65"/>
      <c r="P109" s="4"/>
      <c r="Q109" s="4"/>
      <c r="R109" s="4"/>
      <c r="S109" s="4"/>
      <c r="T109" s="4"/>
      <c r="U109" s="4"/>
      <c r="V109" s="8">
        <f t="shared" si="12"/>
        <v>91970.41504</v>
      </c>
      <c r="W109" s="5" t="str">
        <f t="shared" si="7"/>
        <v>nops</v>
      </c>
      <c r="X109" s="67"/>
      <c r="Y109" s="4"/>
      <c r="Z109" s="4"/>
      <c r="AA109" s="4"/>
    </row>
    <row r="110" ht="19.5" customHeight="1">
      <c r="A110" s="56" t="s">
        <v>28</v>
      </c>
      <c r="B110" s="57">
        <v>91.0</v>
      </c>
      <c r="C110" s="58">
        <f t="shared" si="8"/>
        <v>152707.7693</v>
      </c>
      <c r="D110" s="58">
        <f t="shared" si="9"/>
        <v>16361.54671</v>
      </c>
      <c r="E110" s="59"/>
      <c r="F110" s="60" t="str">
        <f t="shared" si="1"/>
        <v>-</v>
      </c>
      <c r="G110" s="5" t="str">
        <f t="shared" si="2"/>
        <v>nops</v>
      </c>
      <c r="H110" s="83"/>
      <c r="I110" s="62" t="str">
        <f t="shared" si="10"/>
        <v/>
      </c>
      <c r="J110" s="62" t="str">
        <f t="shared" si="3"/>
        <v/>
      </c>
      <c r="K110" s="68" t="str">
        <f t="shared" si="11"/>
        <v/>
      </c>
      <c r="L110" s="64"/>
      <c r="M110" s="65"/>
      <c r="N110" s="65"/>
      <c r="O110" s="65"/>
      <c r="P110" s="4"/>
      <c r="Q110" s="4"/>
      <c r="R110" s="4"/>
      <c r="S110" s="4"/>
      <c r="T110" s="4"/>
      <c r="U110" s="4"/>
      <c r="V110" s="8">
        <f t="shared" si="12"/>
        <v>103006.8648</v>
      </c>
      <c r="W110" s="5" t="str">
        <f t="shared" si="7"/>
        <v>nops</v>
      </c>
      <c r="X110" s="67"/>
      <c r="Y110" s="4"/>
      <c r="Z110" s="4"/>
      <c r="AA110" s="4"/>
    </row>
    <row r="111" ht="19.5" customHeight="1">
      <c r="A111" s="56" t="s">
        <v>28</v>
      </c>
      <c r="B111" s="57">
        <v>92.0</v>
      </c>
      <c r="C111" s="58">
        <f t="shared" si="8"/>
        <v>171032.7017</v>
      </c>
      <c r="D111" s="58">
        <f t="shared" si="9"/>
        <v>18324.93232</v>
      </c>
      <c r="E111" s="59"/>
      <c r="F111" s="60" t="str">
        <f t="shared" si="1"/>
        <v>-</v>
      </c>
      <c r="G111" s="5" t="str">
        <f t="shared" si="2"/>
        <v>nops</v>
      </c>
      <c r="H111" s="83"/>
      <c r="I111" s="62" t="str">
        <f t="shared" si="10"/>
        <v/>
      </c>
      <c r="J111" s="62" t="str">
        <f t="shared" si="3"/>
        <v/>
      </c>
      <c r="K111" s="68" t="str">
        <f t="shared" si="11"/>
        <v/>
      </c>
      <c r="L111" s="64"/>
      <c r="M111" s="65"/>
      <c r="N111" s="65"/>
      <c r="O111" s="65"/>
      <c r="P111" s="4"/>
      <c r="Q111" s="4"/>
      <c r="R111" s="4"/>
      <c r="S111" s="4"/>
      <c r="T111" s="4"/>
      <c r="U111" s="4"/>
      <c r="V111" s="8">
        <f t="shared" si="12"/>
        <v>115367.6886</v>
      </c>
      <c r="W111" s="5" t="str">
        <f t="shared" si="7"/>
        <v>nops</v>
      </c>
      <c r="X111" s="67"/>
      <c r="Y111" s="4"/>
      <c r="Z111" s="4"/>
      <c r="AA111" s="4"/>
    </row>
    <row r="112" ht="19.5" customHeight="1">
      <c r="A112" s="56" t="s">
        <v>28</v>
      </c>
      <c r="B112" s="57">
        <v>93.0</v>
      </c>
      <c r="C112" s="58">
        <f t="shared" si="8"/>
        <v>191556.6259</v>
      </c>
      <c r="D112" s="58">
        <f t="shared" si="9"/>
        <v>20523.9242</v>
      </c>
      <c r="E112" s="59"/>
      <c r="F112" s="60" t="str">
        <f t="shared" si="1"/>
        <v>-</v>
      </c>
      <c r="G112" s="5" t="str">
        <f t="shared" si="2"/>
        <v>nops</v>
      </c>
      <c r="H112" s="83"/>
      <c r="I112" s="62" t="str">
        <f t="shared" si="10"/>
        <v/>
      </c>
      <c r="J112" s="62" t="str">
        <f t="shared" si="3"/>
        <v/>
      </c>
      <c r="K112" s="68" t="str">
        <f t="shared" si="11"/>
        <v/>
      </c>
      <c r="L112" s="64"/>
      <c r="M112" s="65"/>
      <c r="N112" s="65"/>
      <c r="O112" s="65"/>
      <c r="P112" s="4"/>
      <c r="Q112" s="4"/>
      <c r="R112" s="4"/>
      <c r="S112" s="4"/>
      <c r="T112" s="4"/>
      <c r="U112" s="4"/>
      <c r="V112" s="8">
        <f t="shared" si="12"/>
        <v>129211.8113</v>
      </c>
      <c r="W112" s="5" t="str">
        <f t="shared" si="7"/>
        <v>nops</v>
      </c>
      <c r="X112" s="67"/>
      <c r="Y112" s="4"/>
      <c r="Z112" s="4"/>
      <c r="AA112" s="4"/>
    </row>
    <row r="113" ht="19.5" customHeight="1">
      <c r="A113" s="56" t="s">
        <v>28</v>
      </c>
      <c r="B113" s="57">
        <v>94.0</v>
      </c>
      <c r="C113" s="58">
        <f t="shared" si="8"/>
        <v>214543.421</v>
      </c>
      <c r="D113" s="58">
        <f t="shared" si="9"/>
        <v>22986.7951</v>
      </c>
      <c r="E113" s="59"/>
      <c r="F113" s="60" t="str">
        <f t="shared" si="1"/>
        <v>-</v>
      </c>
      <c r="G113" s="5" t="str">
        <f t="shared" si="2"/>
        <v>nops</v>
      </c>
      <c r="H113" s="83"/>
      <c r="I113" s="62" t="str">
        <f t="shared" si="10"/>
        <v/>
      </c>
      <c r="J113" s="62" t="str">
        <f t="shared" si="3"/>
        <v/>
      </c>
      <c r="K113" s="68" t="str">
        <f t="shared" si="11"/>
        <v/>
      </c>
      <c r="L113" s="64"/>
      <c r="M113" s="65"/>
      <c r="N113" s="65"/>
      <c r="O113" s="65"/>
      <c r="P113" s="4"/>
      <c r="Q113" s="4"/>
      <c r="R113" s="4"/>
      <c r="S113" s="4"/>
      <c r="T113" s="4"/>
      <c r="U113" s="4"/>
      <c r="V113" s="8">
        <f t="shared" si="12"/>
        <v>144717.2286</v>
      </c>
      <c r="W113" s="5" t="str">
        <f t="shared" si="7"/>
        <v>nops</v>
      </c>
      <c r="X113" s="67"/>
      <c r="Y113" s="4"/>
      <c r="Z113" s="4"/>
      <c r="AA113" s="4"/>
    </row>
    <row r="114" ht="19.5" customHeight="1">
      <c r="A114" s="56" t="s">
        <v>28</v>
      </c>
      <c r="B114" s="57">
        <v>95.0</v>
      </c>
      <c r="C114" s="58">
        <f t="shared" si="8"/>
        <v>240288.6315</v>
      </c>
      <c r="D114" s="58">
        <f t="shared" si="9"/>
        <v>25745.21052</v>
      </c>
      <c r="E114" s="59"/>
      <c r="F114" s="60" t="str">
        <f t="shared" si="1"/>
        <v>-</v>
      </c>
      <c r="G114" s="5" t="str">
        <f t="shared" si="2"/>
        <v>nops</v>
      </c>
      <c r="H114" s="83"/>
      <c r="I114" s="62" t="str">
        <f t="shared" si="10"/>
        <v/>
      </c>
      <c r="J114" s="62" t="str">
        <f t="shared" si="3"/>
        <v/>
      </c>
      <c r="K114" s="68" t="str">
        <f t="shared" si="11"/>
        <v/>
      </c>
      <c r="L114" s="64"/>
      <c r="M114" s="65"/>
      <c r="N114" s="65"/>
      <c r="O114" s="65"/>
      <c r="P114" s="4"/>
      <c r="Q114" s="4"/>
      <c r="R114" s="4"/>
      <c r="S114" s="4"/>
      <c r="T114" s="4"/>
      <c r="U114" s="4"/>
      <c r="V114" s="8">
        <f t="shared" si="12"/>
        <v>162083.2961</v>
      </c>
      <c r="W114" s="5" t="str">
        <f t="shared" si="7"/>
        <v>nops</v>
      </c>
      <c r="X114" s="67"/>
      <c r="Y114" s="4"/>
      <c r="Z114" s="4"/>
      <c r="AA114" s="4"/>
    </row>
    <row r="115" ht="19.5" customHeight="1">
      <c r="A115" s="56" t="s">
        <v>28</v>
      </c>
      <c r="B115" s="57">
        <v>96.0</v>
      </c>
      <c r="C115" s="58">
        <f t="shared" si="8"/>
        <v>269123.2673</v>
      </c>
      <c r="D115" s="58">
        <f t="shared" si="9"/>
        <v>28834.63578</v>
      </c>
      <c r="E115" s="59"/>
      <c r="F115" s="60" t="str">
        <f t="shared" si="1"/>
        <v>-</v>
      </c>
      <c r="G115" s="5" t="str">
        <f t="shared" si="2"/>
        <v>nops</v>
      </c>
      <c r="H115" s="83"/>
      <c r="I115" s="62" t="str">
        <f t="shared" si="10"/>
        <v/>
      </c>
      <c r="J115" s="62" t="str">
        <f t="shared" si="3"/>
        <v/>
      </c>
      <c r="K115" s="68" t="str">
        <f t="shared" si="11"/>
        <v/>
      </c>
      <c r="L115" s="64"/>
      <c r="M115" s="65"/>
      <c r="N115" s="65"/>
      <c r="O115" s="65"/>
      <c r="P115" s="4"/>
      <c r="Q115" s="4"/>
      <c r="R115" s="4"/>
      <c r="S115" s="4"/>
      <c r="T115" s="4"/>
      <c r="U115" s="4"/>
      <c r="V115" s="8">
        <f t="shared" si="12"/>
        <v>181533.2916</v>
      </c>
      <c r="W115" s="5" t="str">
        <f t="shared" si="7"/>
        <v>nops</v>
      </c>
      <c r="X115" s="67"/>
      <c r="Y115" s="4"/>
      <c r="Z115" s="4"/>
      <c r="AA115" s="4"/>
    </row>
    <row r="116" ht="19.5" customHeight="1">
      <c r="A116" s="56" t="s">
        <v>28</v>
      </c>
      <c r="B116" s="57">
        <v>97.0</v>
      </c>
      <c r="C116" s="58">
        <f t="shared" si="8"/>
        <v>301418.0593</v>
      </c>
      <c r="D116" s="58">
        <f t="shared" si="9"/>
        <v>32294.79207</v>
      </c>
      <c r="E116" s="59"/>
      <c r="F116" s="60" t="str">
        <f t="shared" si="1"/>
        <v>-</v>
      </c>
      <c r="G116" s="5" t="str">
        <f t="shared" si="2"/>
        <v>nops</v>
      </c>
      <c r="H116" s="83"/>
      <c r="I116" s="62" t="str">
        <f t="shared" si="10"/>
        <v/>
      </c>
      <c r="J116" s="62" t="str">
        <f t="shared" si="3"/>
        <v/>
      </c>
      <c r="K116" s="68" t="str">
        <f t="shared" si="11"/>
        <v/>
      </c>
      <c r="L116" s="64"/>
      <c r="M116" s="65"/>
      <c r="N116" s="65"/>
      <c r="O116" s="65"/>
      <c r="P116" s="4"/>
      <c r="Q116" s="4"/>
      <c r="R116" s="4"/>
      <c r="S116" s="4"/>
      <c r="T116" s="4"/>
      <c r="U116" s="4"/>
      <c r="V116" s="8">
        <f t="shared" si="12"/>
        <v>203317.2866</v>
      </c>
      <c r="W116" s="5" t="str">
        <f t="shared" si="7"/>
        <v>nops</v>
      </c>
      <c r="X116" s="67"/>
      <c r="Y116" s="4"/>
      <c r="Z116" s="4"/>
      <c r="AA116" s="4"/>
    </row>
    <row r="117" ht="19.5" customHeight="1">
      <c r="A117" s="56" t="s">
        <v>28</v>
      </c>
      <c r="B117" s="57">
        <v>98.0</v>
      </c>
      <c r="C117" s="58">
        <f t="shared" si="8"/>
        <v>337588.2264</v>
      </c>
      <c r="D117" s="58">
        <f t="shared" si="9"/>
        <v>36170.16712</v>
      </c>
      <c r="E117" s="59"/>
      <c r="F117" s="60" t="str">
        <f t="shared" si="1"/>
        <v>-</v>
      </c>
      <c r="G117" s="5" t="str">
        <f t="shared" si="2"/>
        <v>nops</v>
      </c>
      <c r="H117" s="83"/>
      <c r="I117" s="62" t="str">
        <f t="shared" si="10"/>
        <v/>
      </c>
      <c r="J117" s="62" t="str">
        <f t="shared" si="3"/>
        <v/>
      </c>
      <c r="K117" s="68" t="str">
        <f t="shared" si="11"/>
        <v/>
      </c>
      <c r="L117" s="64"/>
      <c r="M117" s="65"/>
      <c r="N117" s="65"/>
      <c r="O117" s="65"/>
      <c r="P117" s="4"/>
      <c r="Q117" s="4"/>
      <c r="R117" s="4"/>
      <c r="S117" s="4"/>
      <c r="T117" s="4"/>
      <c r="U117" s="4"/>
      <c r="V117" s="8">
        <f t="shared" si="12"/>
        <v>227715.361</v>
      </c>
      <c r="W117" s="5" t="str">
        <f t="shared" si="7"/>
        <v>nops</v>
      </c>
      <c r="X117" s="67"/>
      <c r="Y117" s="4"/>
      <c r="Z117" s="4"/>
      <c r="AA117" s="4"/>
    </row>
    <row r="118" ht="19.5" customHeight="1">
      <c r="A118" s="56" t="s">
        <v>28</v>
      </c>
      <c r="B118" s="57">
        <v>99.0</v>
      </c>
      <c r="C118" s="58">
        <f t="shared" si="8"/>
        <v>378098.8136</v>
      </c>
      <c r="D118" s="58">
        <f t="shared" si="9"/>
        <v>40510.58717</v>
      </c>
      <c r="E118" s="59"/>
      <c r="F118" s="60" t="str">
        <f t="shared" si="1"/>
        <v>-</v>
      </c>
      <c r="G118" s="5" t="str">
        <f t="shared" si="2"/>
        <v>nops</v>
      </c>
      <c r="H118" s="83"/>
      <c r="I118" s="62" t="str">
        <f t="shared" si="10"/>
        <v/>
      </c>
      <c r="J118" s="62" t="str">
        <f t="shared" si="3"/>
        <v/>
      </c>
      <c r="K118" s="68" t="str">
        <f t="shared" si="11"/>
        <v/>
      </c>
      <c r="L118" s="64"/>
      <c r="M118" s="65"/>
      <c r="N118" s="65"/>
      <c r="O118" s="65"/>
      <c r="P118" s="4"/>
      <c r="Q118" s="4"/>
      <c r="R118" s="4"/>
      <c r="S118" s="4"/>
      <c r="T118" s="4"/>
      <c r="U118" s="4"/>
      <c r="V118" s="8">
        <f t="shared" si="12"/>
        <v>255041.2043</v>
      </c>
      <c r="W118" s="5" t="str">
        <f t="shared" si="7"/>
        <v>nops</v>
      </c>
      <c r="X118" s="67"/>
      <c r="Y118" s="4"/>
      <c r="Z118" s="4"/>
      <c r="AA118" s="4"/>
    </row>
    <row r="119" ht="19.5" customHeight="1">
      <c r="A119" s="56" t="s">
        <v>28</v>
      </c>
      <c r="B119" s="57">
        <v>100.0</v>
      </c>
      <c r="C119" s="58">
        <f t="shared" si="8"/>
        <v>423470.6713</v>
      </c>
      <c r="D119" s="58">
        <f t="shared" si="9"/>
        <v>45371.85763</v>
      </c>
      <c r="E119" s="59"/>
      <c r="F119" s="60" t="str">
        <f t="shared" si="1"/>
        <v>-</v>
      </c>
      <c r="G119" s="5" t="str">
        <f t="shared" si="2"/>
        <v>nops</v>
      </c>
      <c r="H119" s="83"/>
      <c r="I119" s="62" t="str">
        <f t="shared" si="10"/>
        <v/>
      </c>
      <c r="J119" s="62" t="str">
        <f t="shared" si="3"/>
        <v/>
      </c>
      <c r="K119" s="68" t="str">
        <f t="shared" si="11"/>
        <v/>
      </c>
      <c r="L119" s="64"/>
      <c r="M119" s="65"/>
      <c r="N119" s="65"/>
      <c r="O119" s="65"/>
      <c r="P119" s="4"/>
      <c r="Q119" s="4"/>
      <c r="R119" s="4"/>
      <c r="S119" s="4"/>
      <c r="T119" s="4"/>
      <c r="U119" s="4"/>
      <c r="V119" s="8">
        <f t="shared" si="12"/>
        <v>285646.1488</v>
      </c>
      <c r="W119" s="5" t="str">
        <f t="shared" si="7"/>
        <v>nops</v>
      </c>
      <c r="X119" s="67"/>
      <c r="Y119" s="4"/>
      <c r="Z119" s="4"/>
      <c r="AA119" s="4"/>
    </row>
    <row r="120" ht="19.5" customHeight="1">
      <c r="A120" s="56" t="s">
        <v>28</v>
      </c>
      <c r="B120" s="57">
        <v>101.0</v>
      </c>
      <c r="C120" s="58">
        <f t="shared" si="8"/>
        <v>474287.1518</v>
      </c>
      <c r="D120" s="58">
        <f t="shared" si="9"/>
        <v>50816.48055</v>
      </c>
      <c r="E120" s="59"/>
      <c r="F120" s="60" t="str">
        <f t="shared" si="1"/>
        <v>-</v>
      </c>
      <c r="G120" s="5" t="str">
        <f t="shared" si="2"/>
        <v>nops</v>
      </c>
      <c r="H120" s="83"/>
      <c r="I120" s="62" t="str">
        <f t="shared" si="10"/>
        <v/>
      </c>
      <c r="J120" s="62" t="str">
        <f t="shared" si="3"/>
        <v/>
      </c>
      <c r="K120" s="68" t="str">
        <f t="shared" si="11"/>
        <v/>
      </c>
      <c r="L120" s="64"/>
      <c r="M120" s="65"/>
      <c r="N120" s="65"/>
      <c r="O120" s="65"/>
      <c r="P120" s="4"/>
      <c r="Q120" s="4"/>
      <c r="R120" s="4"/>
      <c r="S120" s="4"/>
      <c r="T120" s="4"/>
      <c r="U120" s="4"/>
      <c r="V120" s="8">
        <f t="shared" si="12"/>
        <v>319923.6866</v>
      </c>
      <c r="W120" s="5" t="str">
        <f t="shared" si="7"/>
        <v>nops</v>
      </c>
      <c r="X120" s="67"/>
      <c r="Y120" s="4"/>
      <c r="Z120" s="4"/>
      <c r="AA120" s="4"/>
    </row>
    <row r="121" ht="19.5" customHeight="1">
      <c r="A121" s="56" t="s">
        <v>28</v>
      </c>
      <c r="B121" s="57">
        <v>102.0</v>
      </c>
      <c r="C121" s="58">
        <f t="shared" si="8"/>
        <v>531201.61</v>
      </c>
      <c r="D121" s="58">
        <f t="shared" si="9"/>
        <v>56914.45822</v>
      </c>
      <c r="E121" s="59"/>
      <c r="F121" s="60" t="str">
        <f t="shared" si="1"/>
        <v>-</v>
      </c>
      <c r="G121" s="5" t="str">
        <f t="shared" si="2"/>
        <v>nops</v>
      </c>
      <c r="H121" s="83"/>
      <c r="I121" s="62" t="str">
        <f t="shared" si="10"/>
        <v/>
      </c>
      <c r="J121" s="62" t="str">
        <f t="shared" si="3"/>
        <v/>
      </c>
      <c r="K121" s="68" t="str">
        <f t="shared" si="11"/>
        <v/>
      </c>
      <c r="L121" s="64"/>
      <c r="M121" s="65"/>
      <c r="N121" s="65"/>
      <c r="O121" s="65"/>
      <c r="P121" s="4"/>
      <c r="Q121" s="4"/>
      <c r="R121" s="4"/>
      <c r="S121" s="4"/>
      <c r="T121" s="4"/>
      <c r="U121" s="4"/>
      <c r="V121" s="8">
        <f t="shared" si="12"/>
        <v>358314.529</v>
      </c>
      <c r="W121" s="5" t="str">
        <f t="shared" si="7"/>
        <v>nops</v>
      </c>
      <c r="X121" s="67"/>
      <c r="Y121" s="4"/>
      <c r="Z121" s="4"/>
      <c r="AA121" s="4"/>
    </row>
    <row r="122" ht="19.5" customHeight="1">
      <c r="A122" s="56" t="s">
        <v>28</v>
      </c>
      <c r="B122" s="57">
        <v>103.0</v>
      </c>
      <c r="C122" s="58">
        <f t="shared" si="8"/>
        <v>594945.8032</v>
      </c>
      <c r="D122" s="58">
        <f t="shared" si="9"/>
        <v>63744.1932</v>
      </c>
      <c r="E122" s="59"/>
      <c r="F122" s="60" t="str">
        <f t="shared" si="1"/>
        <v>-</v>
      </c>
      <c r="G122" s="5" t="str">
        <f t="shared" si="2"/>
        <v>nops</v>
      </c>
      <c r="H122" s="83"/>
      <c r="I122" s="62" t="str">
        <f t="shared" si="10"/>
        <v/>
      </c>
      <c r="J122" s="62" t="str">
        <f t="shared" si="3"/>
        <v/>
      </c>
      <c r="K122" s="68" t="str">
        <f t="shared" si="11"/>
        <v/>
      </c>
      <c r="L122" s="64"/>
      <c r="M122" s="65"/>
      <c r="N122" s="65"/>
      <c r="O122" s="65"/>
      <c r="P122" s="4"/>
      <c r="Q122" s="4"/>
      <c r="R122" s="4"/>
      <c r="S122" s="4"/>
      <c r="T122" s="4"/>
      <c r="U122" s="4"/>
      <c r="V122" s="8">
        <f t="shared" si="12"/>
        <v>401312.2725</v>
      </c>
      <c r="W122" s="5" t="str">
        <f t="shared" si="7"/>
        <v>nops</v>
      </c>
      <c r="X122" s="67"/>
      <c r="Y122" s="4"/>
      <c r="Z122" s="4"/>
      <c r="AA122" s="4"/>
    </row>
    <row r="123" ht="19.5" customHeight="1">
      <c r="A123" s="56" t="s">
        <v>28</v>
      </c>
      <c r="B123" s="57">
        <v>104.0</v>
      </c>
      <c r="C123" s="58">
        <f t="shared" si="8"/>
        <v>666339.2996</v>
      </c>
      <c r="D123" s="58">
        <f t="shared" si="9"/>
        <v>71393.49639</v>
      </c>
      <c r="E123" s="59"/>
      <c r="F123" s="60" t="str">
        <f t="shared" si="1"/>
        <v>-</v>
      </c>
      <c r="G123" s="5" t="str">
        <f t="shared" si="2"/>
        <v>nops</v>
      </c>
      <c r="H123" s="83"/>
      <c r="I123" s="62" t="str">
        <f t="shared" si="10"/>
        <v/>
      </c>
      <c r="J123" s="62" t="str">
        <f t="shared" si="3"/>
        <v/>
      </c>
      <c r="K123" s="68" t="str">
        <f t="shared" si="11"/>
        <v/>
      </c>
      <c r="L123" s="64"/>
      <c r="M123" s="65"/>
      <c r="N123" s="65"/>
      <c r="O123" s="65"/>
      <c r="P123" s="4"/>
      <c r="Q123" s="4"/>
      <c r="R123" s="4"/>
      <c r="S123" s="4"/>
      <c r="T123" s="4"/>
      <c r="U123" s="4"/>
      <c r="V123" s="8">
        <f t="shared" si="12"/>
        <v>449469.7452</v>
      </c>
      <c r="W123" s="5" t="str">
        <f t="shared" si="7"/>
        <v>nops</v>
      </c>
      <c r="X123" s="67"/>
      <c r="Y123" s="4"/>
      <c r="Z123" s="4"/>
      <c r="AA123" s="4"/>
    </row>
    <row r="124" ht="19.5" customHeight="1">
      <c r="A124" s="56" t="s">
        <v>28</v>
      </c>
      <c r="B124" s="57">
        <v>105.0</v>
      </c>
      <c r="C124" s="58">
        <f t="shared" si="8"/>
        <v>746300.0156</v>
      </c>
      <c r="D124" s="58">
        <f t="shared" si="9"/>
        <v>79960.71595</v>
      </c>
      <c r="E124" s="59"/>
      <c r="F124" s="60" t="str">
        <f t="shared" si="1"/>
        <v>-</v>
      </c>
      <c r="G124" s="5" t="str">
        <f t="shared" si="2"/>
        <v>nops</v>
      </c>
      <c r="H124" s="83"/>
      <c r="I124" s="62" t="str">
        <f t="shared" si="10"/>
        <v/>
      </c>
      <c r="J124" s="62" t="str">
        <f t="shared" si="3"/>
        <v/>
      </c>
      <c r="K124" s="68" t="str">
        <f t="shared" si="11"/>
        <v/>
      </c>
      <c r="L124" s="64"/>
      <c r="M124" s="65"/>
      <c r="N124" s="65"/>
      <c r="O124" s="65"/>
      <c r="P124" s="4"/>
      <c r="Q124" s="4"/>
      <c r="R124" s="4"/>
      <c r="S124" s="4"/>
      <c r="T124" s="4"/>
      <c r="U124" s="4"/>
      <c r="V124" s="8">
        <f t="shared" si="12"/>
        <v>503406.1146</v>
      </c>
      <c r="W124" s="5" t="str">
        <f t="shared" si="7"/>
        <v>nops</v>
      </c>
      <c r="X124" s="67"/>
      <c r="Y124" s="4"/>
      <c r="Z124" s="4"/>
      <c r="AA124" s="4"/>
    </row>
    <row r="125" ht="19.5" customHeight="1">
      <c r="A125" s="56" t="s">
        <v>28</v>
      </c>
      <c r="B125" s="57">
        <v>106.0</v>
      </c>
      <c r="C125" s="58">
        <f t="shared" si="8"/>
        <v>835856.0174</v>
      </c>
      <c r="D125" s="58">
        <f t="shared" si="9"/>
        <v>89556.00187</v>
      </c>
      <c r="E125" s="59"/>
      <c r="F125" s="60" t="str">
        <f t="shared" si="1"/>
        <v>-</v>
      </c>
      <c r="G125" s="5" t="str">
        <f t="shared" si="2"/>
        <v>nops</v>
      </c>
      <c r="H125" s="83"/>
      <c r="I125" s="62" t="str">
        <f t="shared" si="10"/>
        <v/>
      </c>
      <c r="J125" s="62" t="str">
        <f t="shared" si="3"/>
        <v/>
      </c>
      <c r="K125" s="68" t="str">
        <f t="shared" si="11"/>
        <v/>
      </c>
      <c r="L125" s="64"/>
      <c r="M125" s="65"/>
      <c r="N125" s="65"/>
      <c r="O125" s="65"/>
      <c r="P125" s="4"/>
      <c r="Q125" s="4"/>
      <c r="R125" s="4"/>
      <c r="S125" s="4"/>
      <c r="T125" s="4"/>
      <c r="U125" s="4"/>
      <c r="V125" s="8">
        <f t="shared" si="12"/>
        <v>563814.8484</v>
      </c>
      <c r="W125" s="5" t="str">
        <f t="shared" si="7"/>
        <v>nops</v>
      </c>
      <c r="X125" s="67"/>
      <c r="Y125" s="4"/>
      <c r="Z125" s="4"/>
      <c r="AA125" s="4"/>
    </row>
    <row r="126" ht="19.5" customHeight="1">
      <c r="A126" s="56" t="s">
        <v>28</v>
      </c>
      <c r="B126" s="57">
        <v>107.0</v>
      </c>
      <c r="C126" s="58">
        <f t="shared" si="8"/>
        <v>936158.7395</v>
      </c>
      <c r="D126" s="58">
        <f t="shared" si="9"/>
        <v>100302.7221</v>
      </c>
      <c r="E126" s="59"/>
      <c r="F126" s="60" t="str">
        <f t="shared" si="1"/>
        <v>-</v>
      </c>
      <c r="G126" s="5" t="str">
        <f t="shared" si="2"/>
        <v>nops</v>
      </c>
      <c r="H126" s="83"/>
      <c r="I126" s="62" t="str">
        <f t="shared" si="10"/>
        <v/>
      </c>
      <c r="J126" s="62" t="str">
        <f t="shared" si="3"/>
        <v/>
      </c>
      <c r="K126" s="68" t="str">
        <f t="shared" si="11"/>
        <v/>
      </c>
      <c r="L126" s="64"/>
      <c r="M126" s="65"/>
      <c r="N126" s="65"/>
      <c r="O126" s="65"/>
      <c r="P126" s="4"/>
      <c r="Q126" s="4"/>
      <c r="R126" s="4"/>
      <c r="S126" s="4"/>
      <c r="T126" s="4"/>
      <c r="U126" s="4"/>
      <c r="V126" s="8">
        <f t="shared" si="12"/>
        <v>631472.6302</v>
      </c>
      <c r="W126" s="5" t="str">
        <f t="shared" si="7"/>
        <v>nops</v>
      </c>
      <c r="X126" s="67"/>
      <c r="Y126" s="4"/>
      <c r="Z126" s="4"/>
      <c r="AA126" s="4"/>
    </row>
    <row r="127" ht="19.5" customHeight="1">
      <c r="A127" s="56" t="s">
        <v>28</v>
      </c>
      <c r="B127" s="57">
        <v>108.0</v>
      </c>
      <c r="C127" s="58">
        <f t="shared" si="8"/>
        <v>1048497.788</v>
      </c>
      <c r="D127" s="58">
        <f t="shared" si="9"/>
        <v>112339.0487</v>
      </c>
      <c r="E127" s="59"/>
      <c r="F127" s="60" t="str">
        <f t="shared" si="1"/>
        <v>-</v>
      </c>
      <c r="G127" s="5" t="str">
        <f t="shared" si="2"/>
        <v>nops</v>
      </c>
      <c r="H127" s="83"/>
      <c r="I127" s="62" t="str">
        <f t="shared" si="10"/>
        <v/>
      </c>
      <c r="J127" s="62" t="str">
        <f t="shared" si="3"/>
        <v/>
      </c>
      <c r="K127" s="68" t="str">
        <f t="shared" si="11"/>
        <v/>
      </c>
      <c r="L127" s="64"/>
      <c r="M127" s="65"/>
      <c r="N127" s="65"/>
      <c r="O127" s="65"/>
      <c r="P127" s="4"/>
      <c r="Q127" s="4"/>
      <c r="R127" s="4"/>
      <c r="S127" s="4"/>
      <c r="T127" s="4"/>
      <c r="U127" s="4"/>
      <c r="V127" s="8">
        <f t="shared" si="12"/>
        <v>707249.3458</v>
      </c>
      <c r="W127" s="5" t="str">
        <f t="shared" si="7"/>
        <v>nops</v>
      </c>
      <c r="X127" s="67"/>
      <c r="Y127" s="4"/>
      <c r="Z127" s="4"/>
      <c r="AA127" s="4"/>
    </row>
    <row r="128" ht="19.5" customHeight="1">
      <c r="A128" s="56" t="s">
        <v>28</v>
      </c>
      <c r="B128" s="57">
        <v>109.0</v>
      </c>
      <c r="C128" s="58">
        <f t="shared" si="8"/>
        <v>1174317.523</v>
      </c>
      <c r="D128" s="58">
        <f t="shared" si="9"/>
        <v>125819.7346</v>
      </c>
      <c r="E128" s="59"/>
      <c r="F128" s="60" t="str">
        <f t="shared" si="1"/>
        <v>-</v>
      </c>
      <c r="G128" s="5" t="str">
        <f t="shared" si="2"/>
        <v>nops</v>
      </c>
      <c r="H128" s="83"/>
      <c r="I128" s="62" t="str">
        <f t="shared" si="10"/>
        <v/>
      </c>
      <c r="J128" s="62" t="str">
        <f t="shared" si="3"/>
        <v/>
      </c>
      <c r="K128" s="68" t="str">
        <f t="shared" si="11"/>
        <v/>
      </c>
      <c r="L128" s="64"/>
      <c r="M128" s="65"/>
      <c r="N128" s="65"/>
      <c r="O128" s="65"/>
      <c r="P128" s="4"/>
      <c r="Q128" s="4"/>
      <c r="R128" s="4"/>
      <c r="S128" s="4"/>
      <c r="T128" s="4"/>
      <c r="U128" s="4"/>
      <c r="V128" s="8">
        <f t="shared" si="12"/>
        <v>792119.2673</v>
      </c>
      <c r="W128" s="5" t="str">
        <f t="shared" si="7"/>
        <v>nops</v>
      </c>
      <c r="X128" s="67"/>
      <c r="Y128" s="4"/>
      <c r="Z128" s="4"/>
      <c r="AA128" s="4"/>
    </row>
    <row r="129" ht="19.5" customHeight="1">
      <c r="A129" s="56" t="s">
        <v>28</v>
      </c>
      <c r="B129" s="57">
        <v>110.0</v>
      </c>
      <c r="C129" s="58">
        <f t="shared" si="8"/>
        <v>1315235.626</v>
      </c>
      <c r="D129" s="58">
        <f t="shared" si="9"/>
        <v>140918.1027</v>
      </c>
      <c r="E129" s="59"/>
      <c r="F129" s="60" t="str">
        <f t="shared" si="1"/>
        <v>-</v>
      </c>
      <c r="G129" s="5" t="str">
        <f t="shared" si="2"/>
        <v>nops</v>
      </c>
      <c r="H129" s="83"/>
      <c r="I129" s="62" t="str">
        <f t="shared" si="10"/>
        <v/>
      </c>
      <c r="J129" s="62" t="str">
        <f t="shared" si="3"/>
        <v/>
      </c>
      <c r="K129" s="68" t="str">
        <f t="shared" si="11"/>
        <v/>
      </c>
      <c r="L129" s="64"/>
      <c r="M129" s="65"/>
      <c r="N129" s="65"/>
      <c r="O129" s="65"/>
      <c r="P129" s="4"/>
      <c r="Q129" s="4"/>
      <c r="R129" s="4"/>
      <c r="S129" s="4"/>
      <c r="T129" s="4"/>
      <c r="U129" s="4"/>
      <c r="V129" s="8">
        <f t="shared" si="12"/>
        <v>887173.5794</v>
      </c>
      <c r="W129" s="5" t="str">
        <f t="shared" si="7"/>
        <v>nops</v>
      </c>
      <c r="X129" s="67"/>
      <c r="Y129" s="4"/>
      <c r="Z129" s="4"/>
      <c r="AA129" s="4"/>
    </row>
    <row r="130" ht="19.5" customHeight="1">
      <c r="A130" s="56" t="s">
        <v>28</v>
      </c>
      <c r="B130" s="57">
        <v>111.0</v>
      </c>
      <c r="C130" s="58">
        <f t="shared" si="8"/>
        <v>1473063.901</v>
      </c>
      <c r="D130" s="58">
        <f t="shared" si="9"/>
        <v>157828.2751</v>
      </c>
      <c r="E130" s="59"/>
      <c r="F130" s="60" t="str">
        <f t="shared" si="1"/>
        <v>-</v>
      </c>
      <c r="G130" s="5" t="str">
        <f t="shared" si="2"/>
        <v>nops</v>
      </c>
      <c r="H130" s="83"/>
      <c r="I130" s="62" t="str">
        <f t="shared" si="10"/>
        <v/>
      </c>
      <c r="J130" s="62" t="str">
        <f t="shared" si="3"/>
        <v/>
      </c>
      <c r="K130" s="68" t="str">
        <f t="shared" si="11"/>
        <v/>
      </c>
      <c r="L130" s="64"/>
      <c r="M130" s="65"/>
      <c r="N130" s="65"/>
      <c r="O130" s="65"/>
      <c r="P130" s="4"/>
      <c r="Q130" s="4"/>
      <c r="R130" s="4"/>
      <c r="S130" s="4"/>
      <c r="T130" s="4"/>
      <c r="U130" s="4"/>
      <c r="V130" s="8">
        <f t="shared" si="12"/>
        <v>993634.409</v>
      </c>
      <c r="W130" s="5" t="str">
        <f t="shared" si="7"/>
        <v>nops</v>
      </c>
      <c r="X130" s="67"/>
      <c r="Y130" s="4"/>
      <c r="Z130" s="4"/>
      <c r="AA130" s="4"/>
    </row>
    <row r="131" ht="19.5" customHeight="1">
      <c r="A131" s="56" t="s">
        <v>28</v>
      </c>
      <c r="B131" s="57">
        <v>112.0</v>
      </c>
      <c r="C131" s="58">
        <f t="shared" si="8"/>
        <v>1649831.569</v>
      </c>
      <c r="D131" s="58">
        <f t="shared" si="9"/>
        <v>176767.6681</v>
      </c>
      <c r="E131" s="59"/>
      <c r="F131" s="60" t="str">
        <f t="shared" si="1"/>
        <v>-</v>
      </c>
      <c r="G131" s="5" t="str">
        <f t="shared" si="2"/>
        <v>nops</v>
      </c>
      <c r="H131" s="83"/>
      <c r="I131" s="62" t="str">
        <f t="shared" si="10"/>
        <v/>
      </c>
      <c r="J131" s="62" t="str">
        <f t="shared" si="3"/>
        <v/>
      </c>
      <c r="K131" s="68" t="str">
        <f t="shared" si="11"/>
        <v/>
      </c>
      <c r="L131" s="64"/>
      <c r="M131" s="65"/>
      <c r="N131" s="65"/>
      <c r="O131" s="65"/>
      <c r="P131" s="4"/>
      <c r="Q131" s="4"/>
      <c r="R131" s="4"/>
      <c r="S131" s="4"/>
      <c r="T131" s="4"/>
      <c r="U131" s="4"/>
      <c r="V131" s="8">
        <f t="shared" si="12"/>
        <v>1112870.538</v>
      </c>
      <c r="W131" s="5" t="str">
        <f t="shared" si="7"/>
        <v>nops</v>
      </c>
      <c r="X131" s="67"/>
      <c r="Y131" s="4"/>
      <c r="Z131" s="4"/>
      <c r="AA131" s="4"/>
    </row>
    <row r="132" ht="19.5" customHeight="1">
      <c r="A132" s="56" t="s">
        <v>28</v>
      </c>
      <c r="B132" s="57">
        <v>113.0</v>
      </c>
      <c r="C132" s="58">
        <f t="shared" si="8"/>
        <v>1847811.357</v>
      </c>
      <c r="D132" s="58">
        <f t="shared" si="9"/>
        <v>197979.7883</v>
      </c>
      <c r="E132" s="59"/>
      <c r="F132" s="60" t="str">
        <f t="shared" si="1"/>
        <v>-</v>
      </c>
      <c r="G132" s="5" t="str">
        <f t="shared" si="2"/>
        <v>nops</v>
      </c>
      <c r="H132" s="83"/>
      <c r="I132" s="62" t="str">
        <f t="shared" si="10"/>
        <v/>
      </c>
      <c r="J132" s="62" t="str">
        <f t="shared" si="3"/>
        <v/>
      </c>
      <c r="K132" s="68" t="str">
        <f t="shared" si="11"/>
        <v/>
      </c>
      <c r="L132" s="64"/>
      <c r="M132" s="65"/>
      <c r="N132" s="65"/>
      <c r="O132" s="65"/>
      <c r="P132" s="4"/>
      <c r="Q132" s="4"/>
      <c r="R132" s="4"/>
      <c r="S132" s="4"/>
      <c r="T132" s="4"/>
      <c r="U132" s="4"/>
      <c r="V132" s="8">
        <f t="shared" si="12"/>
        <v>1246415.003</v>
      </c>
      <c r="W132" s="5" t="str">
        <f t="shared" si="7"/>
        <v>nops</v>
      </c>
      <c r="X132" s="67"/>
      <c r="Y132" s="4"/>
      <c r="Z132" s="4"/>
      <c r="AA132" s="4"/>
    </row>
    <row r="133" ht="19.5" customHeight="1">
      <c r="A133" s="56" t="s">
        <v>28</v>
      </c>
      <c r="B133" s="57">
        <v>114.0</v>
      </c>
      <c r="C133" s="58">
        <f t="shared" si="8"/>
        <v>2069548.72</v>
      </c>
      <c r="D133" s="58">
        <f t="shared" si="9"/>
        <v>221737.3628</v>
      </c>
      <c r="E133" s="59"/>
      <c r="F133" s="60" t="str">
        <f t="shared" si="1"/>
        <v>-</v>
      </c>
      <c r="G133" s="5" t="str">
        <f t="shared" si="2"/>
        <v>nops</v>
      </c>
      <c r="H133" s="83"/>
      <c r="I133" s="62" t="str">
        <f t="shared" si="10"/>
        <v/>
      </c>
      <c r="J133" s="62" t="str">
        <f t="shared" si="3"/>
        <v/>
      </c>
      <c r="K133" s="68" t="str">
        <f t="shared" si="11"/>
        <v/>
      </c>
      <c r="L133" s="64"/>
      <c r="M133" s="65"/>
      <c r="N133" s="65"/>
      <c r="O133" s="65"/>
      <c r="P133" s="4"/>
      <c r="Q133" s="4"/>
      <c r="R133" s="4"/>
      <c r="S133" s="4"/>
      <c r="T133" s="4"/>
      <c r="U133" s="4"/>
      <c r="V133" s="8">
        <f t="shared" si="12"/>
        <v>1395984.803</v>
      </c>
      <c r="W133" s="5" t="str">
        <f t="shared" si="7"/>
        <v>nops</v>
      </c>
      <c r="X133" s="67"/>
      <c r="Y133" s="4"/>
      <c r="Z133" s="4"/>
      <c r="AA133" s="4"/>
    </row>
    <row r="134" ht="19.5" customHeight="1">
      <c r="A134" s="56" t="s">
        <v>28</v>
      </c>
      <c r="B134" s="57">
        <v>115.0</v>
      </c>
      <c r="C134" s="58">
        <f t="shared" si="8"/>
        <v>2317894.566</v>
      </c>
      <c r="D134" s="58">
        <f t="shared" si="9"/>
        <v>248345.8464</v>
      </c>
      <c r="E134" s="59"/>
      <c r="F134" s="60" t="str">
        <f t="shared" si="1"/>
        <v>-</v>
      </c>
      <c r="G134" s="5" t="str">
        <f t="shared" si="2"/>
        <v>nops</v>
      </c>
      <c r="H134" s="83"/>
      <c r="I134" s="62" t="str">
        <f t="shared" si="10"/>
        <v/>
      </c>
      <c r="J134" s="62" t="str">
        <f t="shared" si="3"/>
        <v/>
      </c>
      <c r="K134" s="68" t="str">
        <f t="shared" si="11"/>
        <v/>
      </c>
      <c r="L134" s="64"/>
      <c r="M134" s="65"/>
      <c r="N134" s="65"/>
      <c r="O134" s="65"/>
      <c r="P134" s="4"/>
      <c r="Q134" s="4"/>
      <c r="R134" s="4"/>
      <c r="S134" s="4"/>
      <c r="T134" s="4"/>
      <c r="U134" s="4"/>
      <c r="V134" s="8">
        <f t="shared" si="12"/>
        <v>1563502.979</v>
      </c>
      <c r="W134" s="5" t="str">
        <f t="shared" si="7"/>
        <v>nops</v>
      </c>
      <c r="X134" s="67"/>
      <c r="Y134" s="4"/>
      <c r="Z134" s="4"/>
      <c r="AA134" s="4"/>
    </row>
    <row r="135" ht="19.5" customHeight="1">
      <c r="A135" s="56" t="s">
        <v>28</v>
      </c>
      <c r="B135" s="57">
        <v>116.0</v>
      </c>
      <c r="C135" s="58">
        <f t="shared" si="8"/>
        <v>2596041.914</v>
      </c>
      <c r="D135" s="58">
        <f t="shared" si="9"/>
        <v>278147.3479</v>
      </c>
      <c r="E135" s="59"/>
      <c r="F135" s="60" t="str">
        <f t="shared" si="1"/>
        <v>-</v>
      </c>
      <c r="G135" s="5" t="str">
        <f t="shared" si="2"/>
        <v>nops</v>
      </c>
      <c r="H135" s="83"/>
      <c r="I135" s="62" t="str">
        <f t="shared" si="10"/>
        <v/>
      </c>
      <c r="J135" s="62" t="str">
        <f t="shared" si="3"/>
        <v/>
      </c>
      <c r="K135" s="68" t="str">
        <f t="shared" si="11"/>
        <v/>
      </c>
      <c r="L135" s="64"/>
      <c r="M135" s="65"/>
      <c r="N135" s="65"/>
      <c r="O135" s="65"/>
      <c r="P135" s="4"/>
      <c r="Q135" s="4"/>
      <c r="R135" s="4"/>
      <c r="S135" s="4"/>
      <c r="T135" s="4"/>
      <c r="U135" s="4"/>
      <c r="V135" s="8">
        <f t="shared" si="12"/>
        <v>1751123.337</v>
      </c>
      <c r="W135" s="5" t="str">
        <f t="shared" si="7"/>
        <v>nops</v>
      </c>
      <c r="X135" s="67"/>
      <c r="Y135" s="4"/>
      <c r="Z135" s="4"/>
      <c r="AA135" s="4"/>
    </row>
    <row r="136" ht="19.5" customHeight="1">
      <c r="A136" s="56" t="s">
        <v>28</v>
      </c>
      <c r="B136" s="57">
        <v>117.0</v>
      </c>
      <c r="C136" s="58">
        <f t="shared" si="8"/>
        <v>2907566.944</v>
      </c>
      <c r="D136" s="58">
        <f t="shared" si="9"/>
        <v>311525.0297</v>
      </c>
      <c r="E136" s="59"/>
      <c r="F136" s="60" t="str">
        <f t="shared" si="1"/>
        <v>-</v>
      </c>
      <c r="G136" s="5" t="str">
        <f t="shared" si="2"/>
        <v>nops</v>
      </c>
      <c r="H136" s="83"/>
      <c r="I136" s="62" t="str">
        <f t="shared" si="10"/>
        <v/>
      </c>
      <c r="J136" s="62" t="str">
        <f t="shared" si="3"/>
        <v/>
      </c>
      <c r="K136" s="68" t="str">
        <f t="shared" si="11"/>
        <v/>
      </c>
      <c r="L136" s="64"/>
      <c r="M136" s="65"/>
      <c r="N136" s="65"/>
      <c r="O136" s="65"/>
      <c r="P136" s="4"/>
      <c r="Q136" s="4"/>
      <c r="R136" s="4"/>
      <c r="S136" s="4"/>
      <c r="T136" s="4"/>
      <c r="U136" s="4"/>
      <c r="V136" s="8">
        <f t="shared" si="12"/>
        <v>1961258.137</v>
      </c>
      <c r="W136" s="5" t="str">
        <f t="shared" si="7"/>
        <v>nops</v>
      </c>
      <c r="X136" s="67"/>
      <c r="Y136" s="4"/>
      <c r="Z136" s="4"/>
      <c r="AA136" s="4"/>
    </row>
    <row r="137" ht="19.5" customHeight="1">
      <c r="A137" s="56" t="s">
        <v>28</v>
      </c>
      <c r="B137" s="57">
        <v>118.0</v>
      </c>
      <c r="C137" s="58">
        <f t="shared" si="8"/>
        <v>3256474.977</v>
      </c>
      <c r="D137" s="58">
        <f t="shared" si="9"/>
        <v>348908.0333</v>
      </c>
      <c r="E137" s="59"/>
      <c r="F137" s="60" t="str">
        <f t="shared" si="1"/>
        <v>-</v>
      </c>
      <c r="G137" s="5" t="str">
        <f t="shared" si="2"/>
        <v>nops</v>
      </c>
      <c r="H137" s="83"/>
      <c r="I137" s="62" t="str">
        <f t="shared" si="10"/>
        <v/>
      </c>
      <c r="J137" s="62" t="str">
        <f t="shared" si="3"/>
        <v/>
      </c>
      <c r="K137" s="68" t="str">
        <f t="shared" si="11"/>
        <v/>
      </c>
      <c r="L137" s="64"/>
      <c r="M137" s="65"/>
      <c r="N137" s="65"/>
      <c r="O137" s="65"/>
      <c r="P137" s="4"/>
      <c r="Q137" s="4"/>
      <c r="R137" s="4"/>
      <c r="S137" s="4"/>
      <c r="T137" s="4"/>
      <c r="U137" s="4"/>
      <c r="V137" s="8">
        <f t="shared" si="12"/>
        <v>2196609.114</v>
      </c>
      <c r="W137" s="5" t="str">
        <f t="shared" si="7"/>
        <v>nops</v>
      </c>
      <c r="X137" s="67"/>
      <c r="Y137" s="4"/>
      <c r="Z137" s="4"/>
      <c r="AA137" s="4"/>
    </row>
    <row r="138" ht="19.5" customHeight="1">
      <c r="A138" s="56" t="s">
        <v>28</v>
      </c>
      <c r="B138" s="57">
        <v>119.0</v>
      </c>
      <c r="C138" s="58">
        <f t="shared" si="8"/>
        <v>3647251.974</v>
      </c>
      <c r="D138" s="58">
        <f t="shared" si="9"/>
        <v>390776.9973</v>
      </c>
      <c r="E138" s="59"/>
      <c r="F138" s="60" t="str">
        <f t="shared" si="1"/>
        <v>-</v>
      </c>
      <c r="G138" s="5" t="str">
        <f t="shared" si="2"/>
        <v>nops</v>
      </c>
      <c r="H138" s="83"/>
      <c r="I138" s="62" t="str">
        <f t="shared" si="10"/>
        <v/>
      </c>
      <c r="J138" s="62" t="str">
        <f t="shared" si="3"/>
        <v/>
      </c>
      <c r="K138" s="68" t="str">
        <f t="shared" si="11"/>
        <v/>
      </c>
      <c r="L138" s="64"/>
      <c r="M138" s="65"/>
      <c r="N138" s="65"/>
      <c r="O138" s="65"/>
      <c r="P138" s="4"/>
      <c r="Q138" s="4"/>
      <c r="R138" s="4"/>
      <c r="S138" s="4"/>
      <c r="T138" s="4"/>
      <c r="U138" s="4"/>
      <c r="V138" s="8">
        <f t="shared" si="12"/>
        <v>2460202.207</v>
      </c>
      <c r="W138" s="5" t="str">
        <f t="shared" si="7"/>
        <v>nops</v>
      </c>
      <c r="X138" s="67"/>
      <c r="Y138" s="4"/>
      <c r="Z138" s="4"/>
      <c r="AA138" s="4"/>
    </row>
    <row r="139" ht="19.5" customHeight="1">
      <c r="A139" s="56" t="s">
        <v>28</v>
      </c>
      <c r="B139" s="57">
        <v>120.0</v>
      </c>
      <c r="C139" s="58">
        <f t="shared" si="8"/>
        <v>4084922.211</v>
      </c>
      <c r="D139" s="58">
        <f t="shared" si="9"/>
        <v>437670.2369</v>
      </c>
      <c r="E139" s="59"/>
      <c r="F139" s="60" t="str">
        <f t="shared" si="1"/>
        <v>-</v>
      </c>
      <c r="G139" s="5" t="str">
        <f t="shared" si="2"/>
        <v>nops</v>
      </c>
      <c r="H139" s="83"/>
      <c r="I139" s="62" t="str">
        <f t="shared" si="10"/>
        <v/>
      </c>
      <c r="J139" s="62" t="str">
        <f t="shared" si="3"/>
        <v/>
      </c>
      <c r="K139" s="68" t="str">
        <f t="shared" si="11"/>
        <v/>
      </c>
      <c r="L139" s="64"/>
      <c r="M139" s="65"/>
      <c r="N139" s="65"/>
      <c r="O139" s="65"/>
      <c r="P139" s="4"/>
      <c r="Q139" s="4"/>
      <c r="R139" s="4"/>
      <c r="S139" s="4"/>
      <c r="T139" s="4"/>
      <c r="U139" s="4"/>
      <c r="V139" s="8">
        <f t="shared" si="12"/>
        <v>2755426.472</v>
      </c>
      <c r="W139" s="5" t="str">
        <f t="shared" si="7"/>
        <v>nops</v>
      </c>
      <c r="X139" s="67"/>
      <c r="Y139" s="4"/>
      <c r="Z139" s="4"/>
      <c r="AA139" s="4"/>
    </row>
    <row r="140" ht="19.5" customHeight="1">
      <c r="A140" s="56" t="s">
        <v>28</v>
      </c>
      <c r="B140" s="57">
        <v>121.0</v>
      </c>
      <c r="C140" s="58">
        <f t="shared" si="8"/>
        <v>4575112.877</v>
      </c>
      <c r="D140" s="58">
        <f t="shared" si="9"/>
        <v>490190.6654</v>
      </c>
      <c r="E140" s="59"/>
      <c r="F140" s="60" t="str">
        <f t="shared" si="1"/>
        <v>-</v>
      </c>
      <c r="G140" s="5" t="str">
        <f t="shared" si="2"/>
        <v>nops</v>
      </c>
      <c r="H140" s="83"/>
      <c r="I140" s="62" t="str">
        <f t="shared" si="10"/>
        <v/>
      </c>
      <c r="J140" s="62" t="str">
        <f t="shared" si="3"/>
        <v/>
      </c>
      <c r="K140" s="68" t="str">
        <f t="shared" si="11"/>
        <v/>
      </c>
      <c r="L140" s="64"/>
      <c r="M140" s="65"/>
      <c r="N140" s="65"/>
      <c r="O140" s="65"/>
      <c r="P140" s="4"/>
      <c r="Q140" s="4"/>
      <c r="R140" s="4"/>
      <c r="S140" s="4"/>
      <c r="T140" s="4"/>
      <c r="U140" s="4"/>
      <c r="V140" s="8">
        <f t="shared" si="12"/>
        <v>3086077.649</v>
      </c>
      <c r="W140" s="5" t="str">
        <f t="shared" si="7"/>
        <v>nops</v>
      </c>
      <c r="X140" s="67"/>
      <c r="Y140" s="4"/>
      <c r="Z140" s="4"/>
      <c r="AA140" s="4"/>
    </row>
    <row r="141" ht="19.5" customHeight="1">
      <c r="A141" s="56" t="s">
        <v>28</v>
      </c>
      <c r="B141" s="57">
        <v>122.0</v>
      </c>
      <c r="C141" s="58">
        <f t="shared" si="8"/>
        <v>5124126.422</v>
      </c>
      <c r="D141" s="58">
        <f t="shared" si="9"/>
        <v>549013.5452</v>
      </c>
      <c r="E141" s="59"/>
      <c r="F141" s="60" t="str">
        <f t="shared" si="1"/>
        <v>-</v>
      </c>
      <c r="G141" s="5" t="str">
        <f t="shared" si="2"/>
        <v>nops</v>
      </c>
      <c r="H141" s="83"/>
      <c r="I141" s="62" t="str">
        <f t="shared" si="10"/>
        <v/>
      </c>
      <c r="J141" s="62" t="str">
        <f t="shared" si="3"/>
        <v/>
      </c>
      <c r="K141" s="68" t="str">
        <f t="shared" si="11"/>
        <v/>
      </c>
      <c r="L141" s="64"/>
      <c r="M141" s="65"/>
      <c r="N141" s="65"/>
      <c r="O141" s="65"/>
      <c r="P141" s="4"/>
      <c r="Q141" s="4"/>
      <c r="R141" s="4"/>
      <c r="S141" s="4"/>
      <c r="T141" s="4"/>
      <c r="U141" s="4"/>
      <c r="V141" s="8">
        <f t="shared" si="12"/>
        <v>3456406.967</v>
      </c>
      <c r="W141" s="5" t="str">
        <f t="shared" si="7"/>
        <v>nops</v>
      </c>
      <c r="X141" s="67"/>
      <c r="Y141" s="4"/>
      <c r="Z141" s="4"/>
      <c r="AA141" s="4"/>
    </row>
    <row r="142" ht="19.5" customHeight="1">
      <c r="A142" s="56" t="s">
        <v>28</v>
      </c>
      <c r="B142" s="57">
        <v>123.0</v>
      </c>
      <c r="C142" s="58">
        <f t="shared" si="8"/>
        <v>5739021.593</v>
      </c>
      <c r="D142" s="58">
        <f t="shared" si="9"/>
        <v>614895.1706</v>
      </c>
      <c r="E142" s="59"/>
      <c r="F142" s="60" t="str">
        <f t="shared" si="1"/>
        <v>-</v>
      </c>
      <c r="G142" s="5" t="str">
        <f t="shared" si="2"/>
        <v>nops</v>
      </c>
      <c r="H142" s="83"/>
      <c r="I142" s="62" t="str">
        <f t="shared" si="10"/>
        <v/>
      </c>
      <c r="J142" s="62" t="str">
        <f t="shared" si="3"/>
        <v/>
      </c>
      <c r="K142" s="68" t="str">
        <f t="shared" si="11"/>
        <v/>
      </c>
      <c r="L142" s="64"/>
      <c r="M142" s="65"/>
      <c r="N142" s="65"/>
      <c r="O142" s="65"/>
      <c r="P142" s="4"/>
      <c r="Q142" s="4"/>
      <c r="R142" s="4"/>
      <c r="S142" s="4"/>
      <c r="T142" s="4"/>
      <c r="U142" s="4"/>
      <c r="V142" s="8">
        <f t="shared" si="12"/>
        <v>3871175.803</v>
      </c>
      <c r="W142" s="5" t="str">
        <f t="shared" si="7"/>
        <v>nops</v>
      </c>
      <c r="X142" s="67"/>
      <c r="Y142" s="4"/>
      <c r="Z142" s="4"/>
      <c r="AA142" s="4"/>
    </row>
    <row r="143" ht="19.5" customHeight="1">
      <c r="A143" s="56" t="s">
        <v>28</v>
      </c>
      <c r="B143" s="57">
        <v>124.0</v>
      </c>
      <c r="C143" s="58">
        <f t="shared" si="8"/>
        <v>6427704.184</v>
      </c>
      <c r="D143" s="58">
        <f t="shared" si="9"/>
        <v>688682.5911</v>
      </c>
      <c r="E143" s="59"/>
      <c r="F143" s="60" t="str">
        <f t="shared" si="1"/>
        <v>-</v>
      </c>
      <c r="G143" s="5" t="str">
        <f t="shared" si="2"/>
        <v>nops</v>
      </c>
      <c r="H143" s="83"/>
      <c r="I143" s="62" t="str">
        <f t="shared" si="10"/>
        <v/>
      </c>
      <c r="J143" s="62" t="str">
        <f t="shared" si="3"/>
        <v/>
      </c>
      <c r="K143" s="68" t="str">
        <f t="shared" si="11"/>
        <v/>
      </c>
      <c r="L143" s="64"/>
      <c r="M143" s="65"/>
      <c r="N143" s="65"/>
      <c r="O143" s="65"/>
      <c r="P143" s="4"/>
      <c r="Q143" s="4"/>
      <c r="R143" s="4"/>
      <c r="S143" s="4"/>
      <c r="T143" s="4"/>
      <c r="U143" s="4"/>
      <c r="V143" s="8">
        <f t="shared" si="12"/>
        <v>4335716.899</v>
      </c>
      <c r="W143" s="5" t="str">
        <f t="shared" si="7"/>
        <v>nops</v>
      </c>
      <c r="X143" s="67"/>
      <c r="Y143" s="4"/>
      <c r="Z143" s="4"/>
      <c r="AA143" s="4"/>
    </row>
    <row r="144" ht="19.5" customHeight="1">
      <c r="A144" s="56" t="s">
        <v>28</v>
      </c>
      <c r="B144" s="57">
        <v>125.0</v>
      </c>
      <c r="C144" s="58">
        <f t="shared" si="8"/>
        <v>7199028.686</v>
      </c>
      <c r="D144" s="58">
        <f t="shared" si="9"/>
        <v>771324.502</v>
      </c>
      <c r="E144" s="59"/>
      <c r="F144" s="60" t="str">
        <f t="shared" si="1"/>
        <v>-</v>
      </c>
      <c r="G144" s="5" t="str">
        <f t="shared" si="2"/>
        <v>nops</v>
      </c>
      <c r="H144" s="83"/>
      <c r="I144" s="62" t="str">
        <f t="shared" si="10"/>
        <v/>
      </c>
      <c r="J144" s="62" t="str">
        <f t="shared" si="3"/>
        <v/>
      </c>
      <c r="K144" s="68" t="str">
        <f t="shared" si="11"/>
        <v/>
      </c>
      <c r="L144" s="64"/>
      <c r="M144" s="65"/>
      <c r="N144" s="65"/>
      <c r="O144" s="65"/>
      <c r="P144" s="4"/>
      <c r="Q144" s="4"/>
      <c r="R144" s="4"/>
      <c r="S144" s="4"/>
      <c r="T144" s="4"/>
      <c r="U144" s="4"/>
      <c r="V144" s="8">
        <f t="shared" si="12"/>
        <v>4856002.927</v>
      </c>
      <c r="W144" s="5" t="str">
        <f t="shared" si="7"/>
        <v>nops</v>
      </c>
      <c r="X144" s="67"/>
      <c r="Y144" s="4"/>
      <c r="Z144" s="4"/>
      <c r="AA144" s="4"/>
    </row>
    <row r="145" ht="19.5" customHeight="1">
      <c r="A145" s="56" t="s">
        <v>28</v>
      </c>
      <c r="B145" s="57">
        <v>126.0</v>
      </c>
      <c r="C145" s="58">
        <f t="shared" si="8"/>
        <v>8062912.128</v>
      </c>
      <c r="D145" s="58">
        <f t="shared" si="9"/>
        <v>863883.4423</v>
      </c>
      <c r="E145" s="59"/>
      <c r="F145" s="60" t="str">
        <f t="shared" si="1"/>
        <v>-</v>
      </c>
      <c r="G145" s="5" t="str">
        <f t="shared" si="2"/>
        <v>nops</v>
      </c>
      <c r="H145" s="83"/>
      <c r="I145" s="62" t="str">
        <f t="shared" si="10"/>
        <v/>
      </c>
      <c r="J145" s="62" t="str">
        <f t="shared" si="3"/>
        <v/>
      </c>
      <c r="K145" s="68" t="str">
        <f t="shared" si="11"/>
        <v/>
      </c>
      <c r="L145" s="64"/>
      <c r="M145" s="65"/>
      <c r="N145" s="65"/>
      <c r="O145" s="65"/>
      <c r="P145" s="4"/>
      <c r="Q145" s="4"/>
      <c r="R145" s="4"/>
      <c r="S145" s="4"/>
      <c r="T145" s="4"/>
      <c r="U145" s="4"/>
      <c r="V145" s="8">
        <f t="shared" si="12"/>
        <v>5438723.278</v>
      </c>
      <c r="W145" s="5" t="str">
        <f t="shared" si="7"/>
        <v>nops</v>
      </c>
      <c r="X145" s="67"/>
      <c r="Y145" s="4"/>
      <c r="Z145" s="4"/>
      <c r="AA145" s="4"/>
    </row>
    <row r="146" ht="19.5" customHeight="1">
      <c r="A146" s="56" t="s">
        <v>28</v>
      </c>
      <c r="B146" s="57">
        <v>127.0</v>
      </c>
      <c r="C146" s="58">
        <f t="shared" si="8"/>
        <v>9030461.583</v>
      </c>
      <c r="D146" s="58">
        <f t="shared" si="9"/>
        <v>967549.4553</v>
      </c>
      <c r="E146" s="59"/>
      <c r="F146" s="60" t="str">
        <f t="shared" si="1"/>
        <v>-</v>
      </c>
      <c r="G146" s="5" t="str">
        <f t="shared" si="2"/>
        <v>nops</v>
      </c>
      <c r="H146" s="83"/>
      <c r="I146" s="62" t="str">
        <f t="shared" si="10"/>
        <v/>
      </c>
      <c r="J146" s="62" t="str">
        <f t="shared" si="3"/>
        <v/>
      </c>
      <c r="K146" s="68" t="str">
        <f t="shared" si="11"/>
        <v/>
      </c>
      <c r="L146" s="64"/>
      <c r="M146" s="65"/>
      <c r="N146" s="65"/>
      <c r="O146" s="65"/>
      <c r="P146" s="4"/>
      <c r="Q146" s="4"/>
      <c r="R146" s="4"/>
      <c r="S146" s="4"/>
      <c r="T146" s="4"/>
      <c r="U146" s="4"/>
      <c r="V146" s="8">
        <f t="shared" si="12"/>
        <v>6091370.071</v>
      </c>
      <c r="W146" s="5" t="str">
        <f t="shared" si="7"/>
        <v>nops</v>
      </c>
      <c r="X146" s="67"/>
      <c r="Y146" s="4"/>
      <c r="Z146" s="4"/>
      <c r="AA146" s="4"/>
    </row>
    <row r="147" ht="19.5" customHeight="1">
      <c r="A147" s="56" t="s">
        <v>28</v>
      </c>
      <c r="B147" s="57">
        <v>128.0</v>
      </c>
      <c r="C147" s="58">
        <f t="shared" si="8"/>
        <v>10114116.97</v>
      </c>
      <c r="D147" s="58">
        <f t="shared" si="9"/>
        <v>1083655.39</v>
      </c>
      <c r="E147" s="59"/>
      <c r="F147" s="60" t="str">
        <f t="shared" si="1"/>
        <v>-</v>
      </c>
      <c r="G147" s="5" t="str">
        <f t="shared" si="2"/>
        <v>nops</v>
      </c>
      <c r="H147" s="83"/>
      <c r="I147" s="62" t="str">
        <f t="shared" si="10"/>
        <v/>
      </c>
      <c r="J147" s="62" t="str">
        <f t="shared" si="3"/>
        <v/>
      </c>
      <c r="K147" s="68" t="str">
        <f t="shared" si="11"/>
        <v/>
      </c>
      <c r="L147" s="64"/>
      <c r="M147" s="65"/>
      <c r="N147" s="65"/>
      <c r="O147" s="65"/>
      <c r="P147" s="4"/>
      <c r="Q147" s="4"/>
      <c r="R147" s="4"/>
      <c r="S147" s="4"/>
      <c r="T147" s="4"/>
      <c r="U147" s="4"/>
      <c r="V147" s="8">
        <f t="shared" si="12"/>
        <v>6822334.48</v>
      </c>
      <c r="W147" s="5" t="str">
        <f t="shared" si="7"/>
        <v>nops</v>
      </c>
      <c r="X147" s="67"/>
      <c r="Y147" s="4"/>
      <c r="Z147" s="4"/>
      <c r="AA147" s="4"/>
    </row>
    <row r="148" ht="19.5" customHeight="1">
      <c r="A148" s="56" t="s">
        <v>28</v>
      </c>
      <c r="B148" s="57">
        <v>129.0</v>
      </c>
      <c r="C148" s="58">
        <f t="shared" si="8"/>
        <v>11327811.01</v>
      </c>
      <c r="D148" s="58">
        <f t="shared" si="9"/>
        <v>1213694.037</v>
      </c>
      <c r="E148" s="59"/>
      <c r="F148" s="60" t="str">
        <f t="shared" si="1"/>
        <v>-</v>
      </c>
      <c r="G148" s="5" t="str">
        <f t="shared" si="2"/>
        <v>nops</v>
      </c>
      <c r="H148" s="83"/>
      <c r="I148" s="62" t="str">
        <f t="shared" si="10"/>
        <v/>
      </c>
      <c r="J148" s="62" t="str">
        <f t="shared" si="3"/>
        <v/>
      </c>
      <c r="K148" s="68" t="str">
        <f t="shared" si="11"/>
        <v/>
      </c>
      <c r="L148" s="64"/>
      <c r="M148" s="65"/>
      <c r="N148" s="65"/>
      <c r="O148" s="65"/>
      <c r="P148" s="4"/>
      <c r="Q148" s="4"/>
      <c r="R148" s="4"/>
      <c r="S148" s="4"/>
      <c r="T148" s="4"/>
      <c r="U148" s="4"/>
      <c r="V148" s="8">
        <f t="shared" si="12"/>
        <v>7641014.618</v>
      </c>
      <c r="W148" s="5" t="str">
        <f t="shared" si="7"/>
        <v>nops</v>
      </c>
      <c r="X148" s="67"/>
      <c r="Y148" s="4"/>
      <c r="Z148" s="4"/>
      <c r="AA148" s="4"/>
    </row>
    <row r="149" ht="19.5" customHeight="1">
      <c r="A149" s="56" t="s">
        <v>28</v>
      </c>
      <c r="B149" s="57">
        <v>130.0</v>
      </c>
      <c r="C149" s="58">
        <f t="shared" si="8"/>
        <v>12687148.33</v>
      </c>
      <c r="D149" s="58">
        <f t="shared" si="9"/>
        <v>1359337.321</v>
      </c>
      <c r="E149" s="59"/>
      <c r="F149" s="60" t="str">
        <f t="shared" si="1"/>
        <v>-</v>
      </c>
      <c r="G149" s="5" t="str">
        <f t="shared" si="2"/>
        <v>nops</v>
      </c>
      <c r="H149" s="83"/>
      <c r="I149" s="62" t="str">
        <f t="shared" si="10"/>
        <v/>
      </c>
      <c r="J149" s="62" t="str">
        <f t="shared" si="3"/>
        <v/>
      </c>
      <c r="K149" s="68" t="str">
        <f t="shared" si="11"/>
        <v/>
      </c>
      <c r="L149" s="64"/>
      <c r="M149" s="65"/>
      <c r="N149" s="65"/>
      <c r="O149" s="65"/>
      <c r="P149" s="4"/>
      <c r="Q149" s="4"/>
      <c r="R149" s="4"/>
      <c r="S149" s="4"/>
      <c r="T149" s="4"/>
      <c r="U149" s="4"/>
      <c r="V149" s="8">
        <f t="shared" si="12"/>
        <v>8557936.372</v>
      </c>
      <c r="W149" s="5" t="str">
        <f t="shared" si="7"/>
        <v>nops</v>
      </c>
      <c r="X149" s="67"/>
      <c r="Y149" s="4"/>
      <c r="Z149" s="4"/>
      <c r="AA149" s="4"/>
    </row>
    <row r="150" ht="19.5" customHeight="1">
      <c r="A150" s="56" t="s">
        <v>28</v>
      </c>
      <c r="B150" s="57">
        <v>131.0</v>
      </c>
      <c r="C150" s="58">
        <f t="shared" si="8"/>
        <v>14209606.13</v>
      </c>
      <c r="D150" s="58">
        <f t="shared" si="9"/>
        <v>1522457.8</v>
      </c>
      <c r="E150" s="59"/>
      <c r="F150" s="60" t="str">
        <f t="shared" si="1"/>
        <v>-</v>
      </c>
      <c r="G150" s="5" t="str">
        <f t="shared" si="2"/>
        <v>nops</v>
      </c>
      <c r="H150" s="83"/>
      <c r="I150" s="62" t="str">
        <f t="shared" si="10"/>
        <v/>
      </c>
      <c r="J150" s="62" t="str">
        <f t="shared" si="3"/>
        <v/>
      </c>
      <c r="K150" s="68" t="str">
        <f t="shared" si="11"/>
        <v/>
      </c>
      <c r="L150" s="64"/>
      <c r="M150" s="65"/>
      <c r="N150" s="65"/>
      <c r="O150" s="65"/>
      <c r="P150" s="4"/>
      <c r="Q150" s="4"/>
      <c r="R150" s="4"/>
      <c r="S150" s="4"/>
      <c r="T150" s="4"/>
      <c r="U150" s="4"/>
      <c r="V150" s="8">
        <f t="shared" si="12"/>
        <v>9584888.736</v>
      </c>
      <c r="W150" s="5" t="str">
        <f t="shared" si="7"/>
        <v>nops</v>
      </c>
      <c r="X150" s="67"/>
      <c r="Y150" s="4"/>
      <c r="Z150" s="4"/>
      <c r="AA150" s="4"/>
    </row>
    <row r="151" ht="19.5" customHeight="1">
      <c r="A151" s="56" t="s">
        <v>28</v>
      </c>
      <c r="B151" s="57">
        <v>132.0</v>
      </c>
      <c r="C151" s="58">
        <f t="shared" si="8"/>
        <v>15914758.87</v>
      </c>
      <c r="D151" s="58">
        <f t="shared" si="9"/>
        <v>1705152.736</v>
      </c>
      <c r="E151" s="59"/>
      <c r="F151" s="60" t="str">
        <f t="shared" si="1"/>
        <v>-</v>
      </c>
      <c r="G151" s="5" t="str">
        <f t="shared" si="2"/>
        <v>nops</v>
      </c>
      <c r="H151" s="83"/>
      <c r="I151" s="62" t="str">
        <f t="shared" si="10"/>
        <v/>
      </c>
      <c r="J151" s="62" t="str">
        <f t="shared" si="3"/>
        <v/>
      </c>
      <c r="K151" s="68" t="str">
        <f t="shared" si="11"/>
        <v/>
      </c>
      <c r="L151" s="64"/>
      <c r="M151" s="65"/>
      <c r="N151" s="65"/>
      <c r="O151" s="65"/>
      <c r="P151" s="4"/>
      <c r="Q151" s="4"/>
      <c r="R151" s="4"/>
      <c r="S151" s="4"/>
      <c r="T151" s="4"/>
      <c r="U151" s="4"/>
      <c r="V151" s="8">
        <f t="shared" si="12"/>
        <v>10735075.38</v>
      </c>
      <c r="W151" s="5" t="str">
        <f t="shared" si="7"/>
        <v>nops</v>
      </c>
      <c r="X151" s="67"/>
      <c r="Y151" s="4"/>
      <c r="Z151" s="4"/>
      <c r="AA151" s="4"/>
    </row>
    <row r="152" ht="19.5" customHeight="1">
      <c r="A152" s="56" t="s">
        <v>28</v>
      </c>
      <c r="B152" s="57">
        <v>133.0</v>
      </c>
      <c r="C152" s="58">
        <f t="shared" si="8"/>
        <v>17824529.93</v>
      </c>
      <c r="D152" s="58">
        <f t="shared" si="9"/>
        <v>1909771.064</v>
      </c>
      <c r="E152" s="59"/>
      <c r="F152" s="60" t="str">
        <f t="shared" si="1"/>
        <v>-</v>
      </c>
      <c r="G152" s="5" t="str">
        <f t="shared" si="2"/>
        <v>nops</v>
      </c>
      <c r="H152" s="83"/>
      <c r="I152" s="62" t="str">
        <f t="shared" si="10"/>
        <v/>
      </c>
      <c r="J152" s="62" t="str">
        <f t="shared" si="3"/>
        <v/>
      </c>
      <c r="K152" s="68" t="str">
        <f t="shared" si="11"/>
        <v/>
      </c>
      <c r="L152" s="64"/>
      <c r="M152" s="65"/>
      <c r="N152" s="65"/>
      <c r="O152" s="65"/>
      <c r="P152" s="4"/>
      <c r="Q152" s="4"/>
      <c r="R152" s="4"/>
      <c r="S152" s="4"/>
      <c r="T152" s="4"/>
      <c r="U152" s="4"/>
      <c r="V152" s="8">
        <f t="shared" si="12"/>
        <v>12023284.43</v>
      </c>
      <c r="W152" s="5" t="str">
        <f t="shared" si="7"/>
        <v>nops</v>
      </c>
      <c r="X152" s="67"/>
      <c r="Y152" s="4"/>
      <c r="Z152" s="4"/>
      <c r="AA152" s="4"/>
    </row>
    <row r="153" ht="19.5" customHeight="1">
      <c r="A153" s="56" t="s">
        <v>28</v>
      </c>
      <c r="B153" s="57">
        <v>134.0</v>
      </c>
      <c r="C153" s="58">
        <f t="shared" si="8"/>
        <v>19963473.52</v>
      </c>
      <c r="D153" s="58">
        <f t="shared" si="9"/>
        <v>2138943.592</v>
      </c>
      <c r="E153" s="59"/>
      <c r="F153" s="60" t="str">
        <f t="shared" si="1"/>
        <v>-</v>
      </c>
      <c r="G153" s="5" t="str">
        <f t="shared" si="2"/>
        <v>nops</v>
      </c>
      <c r="H153" s="83"/>
      <c r="I153" s="62" t="str">
        <f t="shared" si="10"/>
        <v/>
      </c>
      <c r="J153" s="62" t="str">
        <f t="shared" si="3"/>
        <v/>
      </c>
      <c r="K153" s="68" t="str">
        <f t="shared" si="11"/>
        <v/>
      </c>
      <c r="L153" s="64"/>
      <c r="M153" s="65"/>
      <c r="N153" s="65"/>
      <c r="O153" s="65"/>
      <c r="P153" s="4"/>
      <c r="Q153" s="4"/>
      <c r="R153" s="4"/>
      <c r="S153" s="4"/>
      <c r="T153" s="4"/>
      <c r="U153" s="4"/>
      <c r="V153" s="8">
        <f t="shared" si="12"/>
        <v>13466078.56</v>
      </c>
      <c r="W153" s="5" t="str">
        <f t="shared" si="7"/>
        <v>nops</v>
      </c>
      <c r="X153" s="67"/>
      <c r="Y153" s="4"/>
      <c r="Z153" s="4"/>
      <c r="AA153" s="4"/>
    </row>
    <row r="154" ht="19.5" customHeight="1">
      <c r="A154" s="56" t="s">
        <v>28</v>
      </c>
      <c r="B154" s="57">
        <v>135.0</v>
      </c>
      <c r="C154" s="58">
        <f t="shared" si="8"/>
        <v>22359090.35</v>
      </c>
      <c r="D154" s="58">
        <f t="shared" si="9"/>
        <v>2395616.823</v>
      </c>
      <c r="E154" s="59"/>
      <c r="F154" s="60" t="str">
        <f t="shared" si="1"/>
        <v>-</v>
      </c>
      <c r="G154" s="5" t="str">
        <f t="shared" si="2"/>
        <v>nops</v>
      </c>
      <c r="H154" s="83"/>
      <c r="I154" s="62" t="str">
        <f t="shared" si="10"/>
        <v/>
      </c>
      <c r="J154" s="62" t="str">
        <f t="shared" si="3"/>
        <v/>
      </c>
      <c r="K154" s="68" t="str">
        <f t="shared" si="11"/>
        <v/>
      </c>
      <c r="L154" s="64"/>
      <c r="M154" s="65"/>
      <c r="N154" s="65"/>
      <c r="O154" s="65"/>
      <c r="P154" s="4"/>
      <c r="Q154" s="4"/>
      <c r="R154" s="4"/>
      <c r="S154" s="4"/>
      <c r="T154" s="4"/>
      <c r="U154" s="4"/>
      <c r="V154" s="8">
        <f t="shared" si="12"/>
        <v>15082007.99</v>
      </c>
      <c r="W154" s="5" t="str">
        <f t="shared" si="7"/>
        <v>nops</v>
      </c>
      <c r="X154" s="67"/>
      <c r="Y154" s="4"/>
      <c r="Z154" s="4"/>
      <c r="AA154" s="4"/>
    </row>
    <row r="155" ht="19.5" customHeight="1">
      <c r="A155" s="56" t="s">
        <v>28</v>
      </c>
      <c r="B155" s="57">
        <v>136.0</v>
      </c>
      <c r="C155" s="58">
        <f t="shared" si="8"/>
        <v>25042181.19</v>
      </c>
      <c r="D155" s="58">
        <f t="shared" si="9"/>
        <v>2683090.841</v>
      </c>
      <c r="E155" s="59"/>
      <c r="F155" s="60" t="str">
        <f t="shared" si="1"/>
        <v>-</v>
      </c>
      <c r="G155" s="5" t="str">
        <f t="shared" si="2"/>
        <v>nops</v>
      </c>
      <c r="H155" s="83"/>
      <c r="I155" s="62" t="str">
        <f t="shared" si="10"/>
        <v/>
      </c>
      <c r="J155" s="62" t="str">
        <f t="shared" si="3"/>
        <v/>
      </c>
      <c r="K155" s="68" t="str">
        <f t="shared" si="11"/>
        <v/>
      </c>
      <c r="L155" s="64"/>
      <c r="M155" s="65"/>
      <c r="N155" s="65"/>
      <c r="O155" s="65"/>
      <c r="P155" s="4"/>
      <c r="Q155" s="4"/>
      <c r="R155" s="4"/>
      <c r="S155" s="4"/>
      <c r="T155" s="4"/>
      <c r="U155" s="4"/>
      <c r="V155" s="8">
        <f t="shared" si="12"/>
        <v>16891848.95</v>
      </c>
      <c r="W155" s="5" t="str">
        <f t="shared" si="7"/>
        <v>nops</v>
      </c>
      <c r="X155" s="67"/>
      <c r="Y155" s="4"/>
      <c r="Z155" s="4"/>
      <c r="AA155" s="4"/>
    </row>
    <row r="156" ht="19.5" customHeight="1">
      <c r="A156" s="56" t="s">
        <v>28</v>
      </c>
      <c r="B156" s="57">
        <v>137.0</v>
      </c>
      <c r="C156" s="58">
        <f t="shared" si="8"/>
        <v>28047242.93</v>
      </c>
      <c r="D156" s="58">
        <f t="shared" si="9"/>
        <v>3005061.742</v>
      </c>
      <c r="E156" s="59"/>
      <c r="F156" s="60" t="str">
        <f t="shared" si="1"/>
        <v>-</v>
      </c>
      <c r="G156" s="5" t="str">
        <f t="shared" si="2"/>
        <v>nops</v>
      </c>
      <c r="H156" s="83"/>
      <c r="I156" s="62" t="str">
        <f t="shared" si="10"/>
        <v/>
      </c>
      <c r="J156" s="62" t="str">
        <f t="shared" si="3"/>
        <v/>
      </c>
      <c r="K156" s="68" t="str">
        <f t="shared" si="11"/>
        <v/>
      </c>
      <c r="L156" s="64"/>
      <c r="M156" s="65"/>
      <c r="N156" s="65"/>
      <c r="O156" s="65"/>
      <c r="P156" s="4"/>
      <c r="Q156" s="4"/>
      <c r="R156" s="4"/>
      <c r="S156" s="4"/>
      <c r="T156" s="4"/>
      <c r="U156" s="4"/>
      <c r="V156" s="8">
        <f t="shared" si="12"/>
        <v>18918870.82</v>
      </c>
      <c r="W156" s="5" t="str">
        <f t="shared" si="7"/>
        <v>nops</v>
      </c>
      <c r="X156" s="67"/>
      <c r="Y156" s="4"/>
      <c r="Z156" s="4"/>
      <c r="AA156" s="4"/>
    </row>
    <row r="157" ht="19.5" customHeight="1">
      <c r="A157" s="56" t="s">
        <v>28</v>
      </c>
      <c r="B157" s="57">
        <v>138.0</v>
      </c>
      <c r="C157" s="58">
        <f t="shared" si="8"/>
        <v>31412912.08</v>
      </c>
      <c r="D157" s="58">
        <f t="shared" si="9"/>
        <v>3365669.151</v>
      </c>
      <c r="E157" s="59"/>
      <c r="F157" s="60" t="str">
        <f t="shared" si="1"/>
        <v>-</v>
      </c>
      <c r="G157" s="5" t="str">
        <f t="shared" si="2"/>
        <v>nops</v>
      </c>
      <c r="H157" s="83"/>
      <c r="I157" s="62" t="str">
        <f t="shared" si="10"/>
        <v/>
      </c>
      <c r="J157" s="62" t="str">
        <f t="shared" si="3"/>
        <v/>
      </c>
      <c r="K157" s="68" t="str">
        <f t="shared" si="11"/>
        <v/>
      </c>
      <c r="L157" s="64"/>
      <c r="M157" s="65"/>
      <c r="N157" s="65"/>
      <c r="O157" s="65"/>
      <c r="P157" s="4"/>
      <c r="Q157" s="4"/>
      <c r="R157" s="4"/>
      <c r="S157" s="4"/>
      <c r="T157" s="4"/>
      <c r="U157" s="4"/>
      <c r="V157" s="8">
        <f t="shared" si="12"/>
        <v>21189135.32</v>
      </c>
      <c r="W157" s="5" t="str">
        <f t="shared" si="7"/>
        <v>nops</v>
      </c>
      <c r="X157" s="67"/>
      <c r="Y157" s="4"/>
      <c r="Z157" s="4"/>
      <c r="AA157" s="4"/>
    </row>
    <row r="158" ht="19.5" customHeight="1">
      <c r="A158" s="56" t="s">
        <v>28</v>
      </c>
      <c r="B158" s="57">
        <v>139.0</v>
      </c>
      <c r="C158" s="58">
        <f t="shared" si="8"/>
        <v>35182461.53</v>
      </c>
      <c r="D158" s="58">
        <f t="shared" si="9"/>
        <v>3769549.45</v>
      </c>
      <c r="E158" s="59"/>
      <c r="F158" s="60" t="str">
        <f t="shared" si="1"/>
        <v>-</v>
      </c>
      <c r="G158" s="5" t="str">
        <f t="shared" si="2"/>
        <v>nops</v>
      </c>
      <c r="H158" s="83"/>
      <c r="I158" s="62" t="str">
        <f t="shared" si="10"/>
        <v/>
      </c>
      <c r="J158" s="62" t="str">
        <f t="shared" si="3"/>
        <v/>
      </c>
      <c r="K158" s="68" t="str">
        <f t="shared" si="11"/>
        <v/>
      </c>
      <c r="L158" s="64"/>
      <c r="M158" s="65"/>
      <c r="N158" s="65"/>
      <c r="O158" s="65"/>
      <c r="P158" s="4"/>
      <c r="Q158" s="4"/>
      <c r="R158" s="4"/>
      <c r="S158" s="4"/>
      <c r="T158" s="4"/>
      <c r="U158" s="4"/>
      <c r="V158" s="8">
        <f t="shared" si="12"/>
        <v>23731831.56</v>
      </c>
      <c r="W158" s="5" t="str">
        <f t="shared" si="7"/>
        <v>nops</v>
      </c>
      <c r="X158" s="67"/>
      <c r="Y158" s="4"/>
      <c r="Z158" s="4"/>
      <c r="AA158" s="4"/>
    </row>
    <row r="159" ht="19.5" customHeight="1">
      <c r="A159" s="56" t="s">
        <v>28</v>
      </c>
      <c r="B159" s="57">
        <v>140.0</v>
      </c>
      <c r="C159" s="58">
        <f t="shared" si="8"/>
        <v>39404356.91</v>
      </c>
      <c r="D159" s="58">
        <f t="shared" si="9"/>
        <v>4221895.384</v>
      </c>
      <c r="E159" s="59"/>
      <c r="F159" s="60" t="str">
        <f t="shared" si="1"/>
        <v>-</v>
      </c>
      <c r="G159" s="5" t="str">
        <f t="shared" si="2"/>
        <v>nops</v>
      </c>
      <c r="H159" s="83"/>
      <c r="I159" s="62" t="str">
        <f t="shared" si="10"/>
        <v/>
      </c>
      <c r="J159" s="62" t="str">
        <f t="shared" si="3"/>
        <v/>
      </c>
      <c r="K159" s="68" t="str">
        <f t="shared" si="11"/>
        <v/>
      </c>
      <c r="L159" s="64"/>
      <c r="M159" s="65"/>
      <c r="N159" s="65"/>
      <c r="O159" s="65"/>
      <c r="P159" s="4"/>
      <c r="Q159" s="4"/>
      <c r="R159" s="4"/>
      <c r="S159" s="4"/>
      <c r="T159" s="4"/>
      <c r="U159" s="4"/>
      <c r="V159" s="8">
        <f t="shared" si="12"/>
        <v>26579651.35</v>
      </c>
      <c r="W159" s="5" t="str">
        <f t="shared" si="7"/>
        <v>nops</v>
      </c>
      <c r="X159" s="67"/>
      <c r="Y159" s="4"/>
      <c r="Z159" s="4"/>
      <c r="AA159" s="4"/>
    </row>
    <row r="160" ht="19.5" customHeight="1">
      <c r="A160" s="56" t="s">
        <v>28</v>
      </c>
      <c r="B160" s="57">
        <v>141.0</v>
      </c>
      <c r="C160" s="58">
        <f t="shared" si="8"/>
        <v>44132879.74</v>
      </c>
      <c r="D160" s="58">
        <f t="shared" si="9"/>
        <v>4728522.83</v>
      </c>
      <c r="E160" s="59"/>
      <c r="F160" s="60" t="str">
        <f t="shared" si="1"/>
        <v>-</v>
      </c>
      <c r="G160" s="5" t="str">
        <f t="shared" si="2"/>
        <v>nops</v>
      </c>
      <c r="H160" s="83"/>
      <c r="I160" s="62" t="str">
        <f t="shared" si="10"/>
        <v/>
      </c>
      <c r="J160" s="62" t="str">
        <f t="shared" si="3"/>
        <v/>
      </c>
      <c r="K160" s="68" t="str">
        <f t="shared" si="11"/>
        <v/>
      </c>
      <c r="L160" s="64"/>
      <c r="M160" s="65"/>
      <c r="N160" s="65"/>
      <c r="O160" s="65"/>
      <c r="P160" s="4"/>
      <c r="Q160" s="4"/>
      <c r="R160" s="4"/>
      <c r="S160" s="4"/>
      <c r="T160" s="4"/>
      <c r="U160" s="4"/>
      <c r="V160" s="8">
        <f t="shared" si="12"/>
        <v>29769209.51</v>
      </c>
      <c r="W160" s="5" t="str">
        <f t="shared" si="7"/>
        <v>nops</v>
      </c>
      <c r="X160" s="67"/>
      <c r="Y160" s="4"/>
      <c r="Z160" s="4"/>
      <c r="AA160" s="4"/>
    </row>
    <row r="161" ht="19.5" customHeight="1">
      <c r="A161" s="56" t="s">
        <v>28</v>
      </c>
      <c r="B161" s="57">
        <v>142.0</v>
      </c>
      <c r="C161" s="58">
        <f t="shared" si="8"/>
        <v>49428825.31</v>
      </c>
      <c r="D161" s="58">
        <f t="shared" si="9"/>
        <v>5295945.569</v>
      </c>
      <c r="E161" s="59"/>
      <c r="F161" s="60" t="str">
        <f t="shared" si="1"/>
        <v>-</v>
      </c>
      <c r="G161" s="5" t="str">
        <f t="shared" si="2"/>
        <v>nops</v>
      </c>
      <c r="H161" s="83"/>
      <c r="I161" s="62" t="str">
        <f t="shared" si="10"/>
        <v/>
      </c>
      <c r="J161" s="62" t="str">
        <f t="shared" si="3"/>
        <v/>
      </c>
      <c r="K161" s="68" t="str">
        <f t="shared" si="11"/>
        <v/>
      </c>
      <c r="L161" s="64"/>
      <c r="M161" s="65"/>
      <c r="N161" s="65"/>
      <c r="O161" s="65"/>
      <c r="P161" s="4"/>
      <c r="Q161" s="4"/>
      <c r="R161" s="4"/>
      <c r="S161" s="4"/>
      <c r="T161" s="4"/>
      <c r="U161" s="4"/>
      <c r="V161" s="8">
        <f t="shared" si="12"/>
        <v>33341514.65</v>
      </c>
      <c r="W161" s="5" t="str">
        <f t="shared" si="7"/>
        <v>nops</v>
      </c>
      <c r="X161" s="67"/>
      <c r="Y161" s="4"/>
      <c r="Z161" s="4"/>
      <c r="AA161" s="4"/>
    </row>
    <row r="162" ht="19.5" customHeight="1">
      <c r="A162" s="56" t="s">
        <v>28</v>
      </c>
      <c r="B162" s="57">
        <v>143.0</v>
      </c>
      <c r="C162" s="58">
        <f t="shared" si="8"/>
        <v>55360284.35</v>
      </c>
      <c r="D162" s="58">
        <f t="shared" si="9"/>
        <v>5931459.037</v>
      </c>
      <c r="E162" s="59"/>
      <c r="F162" s="60" t="str">
        <f t="shared" si="1"/>
        <v>-</v>
      </c>
      <c r="G162" s="5" t="str">
        <f t="shared" si="2"/>
        <v>nops</v>
      </c>
      <c r="H162" s="83"/>
      <c r="I162" s="62" t="str">
        <f t="shared" si="10"/>
        <v/>
      </c>
      <c r="J162" s="62" t="str">
        <f t="shared" si="3"/>
        <v/>
      </c>
      <c r="K162" s="68" t="str">
        <f t="shared" si="11"/>
        <v/>
      </c>
      <c r="L162" s="64"/>
      <c r="M162" s="65"/>
      <c r="N162" s="65"/>
      <c r="O162" s="65"/>
      <c r="P162" s="4"/>
      <c r="Q162" s="4"/>
      <c r="R162" s="4"/>
      <c r="S162" s="4"/>
      <c r="T162" s="4"/>
      <c r="U162" s="4"/>
      <c r="V162" s="8">
        <f t="shared" si="12"/>
        <v>37342496.41</v>
      </c>
      <c r="W162" s="5" t="str">
        <f t="shared" si="7"/>
        <v>nops</v>
      </c>
      <c r="X162" s="67"/>
      <c r="Y162" s="4"/>
      <c r="Z162" s="4"/>
      <c r="AA162" s="4"/>
    </row>
    <row r="163" ht="19.5" customHeight="1">
      <c r="A163" s="56" t="s">
        <v>28</v>
      </c>
      <c r="B163" s="57">
        <v>144.0</v>
      </c>
      <c r="C163" s="58">
        <f t="shared" si="8"/>
        <v>62003518.47</v>
      </c>
      <c r="D163" s="58">
        <f t="shared" si="9"/>
        <v>6643234.122</v>
      </c>
      <c r="E163" s="59"/>
      <c r="F163" s="60" t="str">
        <f t="shared" si="1"/>
        <v>-</v>
      </c>
      <c r="G163" s="5" t="str">
        <f t="shared" si="2"/>
        <v>nops</v>
      </c>
      <c r="H163" s="83"/>
      <c r="I163" s="62" t="str">
        <f t="shared" si="10"/>
        <v/>
      </c>
      <c r="J163" s="62" t="str">
        <f t="shared" si="3"/>
        <v/>
      </c>
      <c r="K163" s="68" t="str">
        <f t="shared" si="11"/>
        <v/>
      </c>
      <c r="L163" s="64"/>
      <c r="M163" s="65"/>
      <c r="N163" s="65"/>
      <c r="O163" s="65"/>
      <c r="P163" s="4"/>
      <c r="Q163" s="4"/>
      <c r="R163" s="4"/>
      <c r="S163" s="4"/>
      <c r="T163" s="4"/>
      <c r="U163" s="4"/>
      <c r="V163" s="8">
        <f t="shared" si="12"/>
        <v>41823595.98</v>
      </c>
      <c r="W163" s="5" t="str">
        <f t="shared" si="7"/>
        <v>nops</v>
      </c>
      <c r="X163" s="67"/>
      <c r="Y163" s="4"/>
      <c r="Z163" s="4"/>
      <c r="AA163" s="4"/>
    </row>
    <row r="164" ht="19.5" customHeight="1">
      <c r="A164" s="56" t="s">
        <v>28</v>
      </c>
      <c r="B164" s="57">
        <v>145.0</v>
      </c>
      <c r="C164" s="58">
        <f t="shared" si="8"/>
        <v>69443940.69</v>
      </c>
      <c r="D164" s="58">
        <f t="shared" si="9"/>
        <v>7440422.217</v>
      </c>
      <c r="E164" s="59"/>
      <c r="F164" s="60" t="str">
        <f t="shared" si="1"/>
        <v>-</v>
      </c>
      <c r="G164" s="5" t="str">
        <f t="shared" si="2"/>
        <v>nops</v>
      </c>
      <c r="H164" s="83"/>
      <c r="I164" s="62" t="str">
        <f t="shared" si="10"/>
        <v/>
      </c>
      <c r="J164" s="62" t="str">
        <f t="shared" si="3"/>
        <v/>
      </c>
      <c r="K164" s="68" t="str">
        <f t="shared" si="11"/>
        <v/>
      </c>
      <c r="L164" s="64"/>
      <c r="M164" s="65"/>
      <c r="N164" s="65"/>
      <c r="O164" s="65"/>
      <c r="P164" s="4"/>
      <c r="Q164" s="4"/>
      <c r="R164" s="4"/>
      <c r="S164" s="4"/>
      <c r="T164" s="4"/>
      <c r="U164" s="4"/>
      <c r="V164" s="8">
        <f t="shared" si="12"/>
        <v>46842427.49</v>
      </c>
      <c r="W164" s="5" t="str">
        <f t="shared" si="7"/>
        <v>nops</v>
      </c>
      <c r="X164" s="67"/>
      <c r="Y164" s="4"/>
      <c r="Z164" s="4"/>
      <c r="AA164" s="4"/>
    </row>
    <row r="165" ht="19.5" customHeight="1">
      <c r="A165" s="56" t="s">
        <v>28</v>
      </c>
      <c r="B165" s="57">
        <v>146.0</v>
      </c>
      <c r="C165" s="58">
        <f t="shared" si="8"/>
        <v>77777213.57</v>
      </c>
      <c r="D165" s="58">
        <f t="shared" si="9"/>
        <v>8333272.883</v>
      </c>
      <c r="E165" s="59"/>
      <c r="F165" s="60" t="str">
        <f t="shared" si="1"/>
        <v>-</v>
      </c>
      <c r="G165" s="5" t="str">
        <f t="shared" si="2"/>
        <v>nops</v>
      </c>
      <c r="H165" s="83"/>
      <c r="I165" s="62" t="str">
        <f t="shared" si="10"/>
        <v/>
      </c>
      <c r="J165" s="62" t="str">
        <f t="shared" si="3"/>
        <v/>
      </c>
      <c r="K165" s="68" t="str">
        <f t="shared" si="11"/>
        <v/>
      </c>
      <c r="L165" s="64"/>
      <c r="M165" s="65"/>
      <c r="N165" s="65"/>
      <c r="O165" s="65"/>
      <c r="P165" s="4"/>
      <c r="Q165" s="4"/>
      <c r="R165" s="4"/>
      <c r="S165" s="4"/>
      <c r="T165" s="4"/>
      <c r="U165" s="4"/>
      <c r="V165" s="8">
        <f t="shared" si="12"/>
        <v>52463518.79</v>
      </c>
      <c r="W165" s="5" t="str">
        <f t="shared" si="7"/>
        <v>nops</v>
      </c>
      <c r="X165" s="67"/>
      <c r="Y165" s="4"/>
      <c r="Z165" s="4"/>
      <c r="AA165" s="4"/>
    </row>
    <row r="166" ht="19.5" customHeight="1">
      <c r="A166" s="56" t="s">
        <v>28</v>
      </c>
      <c r="B166" s="57">
        <v>147.0</v>
      </c>
      <c r="C166" s="58">
        <f t="shared" si="8"/>
        <v>87110479.2</v>
      </c>
      <c r="D166" s="58">
        <f t="shared" si="9"/>
        <v>9333265.629</v>
      </c>
      <c r="E166" s="59"/>
      <c r="F166" s="60" t="str">
        <f t="shared" si="1"/>
        <v>-</v>
      </c>
      <c r="G166" s="5" t="str">
        <f t="shared" si="2"/>
        <v>nops</v>
      </c>
      <c r="H166" s="83"/>
      <c r="I166" s="62" t="str">
        <f t="shared" si="10"/>
        <v/>
      </c>
      <c r="J166" s="62" t="str">
        <f t="shared" si="3"/>
        <v/>
      </c>
      <c r="K166" s="68" t="str">
        <f t="shared" si="11"/>
        <v/>
      </c>
      <c r="L166" s="64"/>
      <c r="M166" s="65"/>
      <c r="N166" s="65"/>
      <c r="O166" s="65"/>
      <c r="P166" s="4"/>
      <c r="Q166" s="4"/>
      <c r="R166" s="4"/>
      <c r="S166" s="4"/>
      <c r="T166" s="4"/>
      <c r="U166" s="4"/>
      <c r="V166" s="8">
        <f t="shared" si="12"/>
        <v>58759141.05</v>
      </c>
      <c r="W166" s="5" t="str">
        <f t="shared" si="7"/>
        <v>nops</v>
      </c>
      <c r="X166" s="67"/>
      <c r="Y166" s="4"/>
      <c r="Z166" s="4"/>
      <c r="AA166" s="4"/>
    </row>
    <row r="167" ht="19.5" customHeight="1">
      <c r="A167" s="56" t="s">
        <v>28</v>
      </c>
      <c r="B167" s="57">
        <v>148.0</v>
      </c>
      <c r="C167" s="58">
        <f t="shared" si="8"/>
        <v>97563736.7</v>
      </c>
      <c r="D167" s="58">
        <f t="shared" si="9"/>
        <v>10453257.5</v>
      </c>
      <c r="E167" s="59"/>
      <c r="F167" s="60" t="str">
        <f t="shared" si="1"/>
        <v>-</v>
      </c>
      <c r="G167" s="5" t="str">
        <f t="shared" si="2"/>
        <v>nops</v>
      </c>
      <c r="H167" s="83"/>
      <c r="I167" s="62" t="str">
        <f t="shared" si="10"/>
        <v/>
      </c>
      <c r="J167" s="62" t="str">
        <f t="shared" si="3"/>
        <v/>
      </c>
      <c r="K167" s="68" t="str">
        <f t="shared" si="11"/>
        <v/>
      </c>
      <c r="L167" s="64"/>
      <c r="M167" s="65"/>
      <c r="N167" s="65"/>
      <c r="O167" s="65"/>
      <c r="P167" s="4"/>
      <c r="Q167" s="4"/>
      <c r="R167" s="4"/>
      <c r="S167" s="4"/>
      <c r="T167" s="4"/>
      <c r="U167" s="4"/>
      <c r="V167" s="8">
        <f t="shared" si="12"/>
        <v>65810237.97</v>
      </c>
      <c r="W167" s="5" t="str">
        <f t="shared" si="7"/>
        <v>nops</v>
      </c>
      <c r="X167" s="67"/>
      <c r="Y167" s="4"/>
      <c r="Z167" s="4"/>
      <c r="AA167" s="4"/>
    </row>
    <row r="168" ht="19.5" customHeight="1">
      <c r="A168" s="56" t="s">
        <v>28</v>
      </c>
      <c r="B168" s="57">
        <v>149.0</v>
      </c>
      <c r="C168" s="58">
        <f t="shared" si="8"/>
        <v>109271385.1</v>
      </c>
      <c r="D168" s="58">
        <f t="shared" si="9"/>
        <v>11707648.4</v>
      </c>
      <c r="E168" s="59"/>
      <c r="F168" s="60" t="str">
        <f t="shared" si="1"/>
        <v>-</v>
      </c>
      <c r="G168" s="5" t="str">
        <f t="shared" si="2"/>
        <v>nops</v>
      </c>
      <c r="H168" s="83"/>
      <c r="I168" s="62" t="str">
        <f t="shared" si="10"/>
        <v/>
      </c>
      <c r="J168" s="62" t="str">
        <f t="shared" si="3"/>
        <v/>
      </c>
      <c r="K168" s="68" t="str">
        <f t="shared" si="11"/>
        <v/>
      </c>
      <c r="L168" s="64"/>
      <c r="M168" s="65"/>
      <c r="N168" s="65"/>
      <c r="O168" s="65"/>
      <c r="P168" s="4"/>
      <c r="Q168" s="4"/>
      <c r="R168" s="4"/>
      <c r="S168" s="4"/>
      <c r="T168" s="4"/>
      <c r="U168" s="4"/>
      <c r="V168" s="8">
        <f t="shared" si="12"/>
        <v>73707466.53</v>
      </c>
      <c r="W168" s="5" t="str">
        <f t="shared" si="7"/>
        <v>nops</v>
      </c>
      <c r="X168" s="67"/>
      <c r="Y168" s="4"/>
      <c r="Z168" s="4"/>
      <c r="AA168" s="4"/>
    </row>
    <row r="169" ht="19.5" customHeight="1">
      <c r="A169" s="56" t="s">
        <v>28</v>
      </c>
      <c r="B169" s="57">
        <v>150.0</v>
      </c>
      <c r="C169" s="58">
        <f t="shared" si="8"/>
        <v>122383951.3</v>
      </c>
      <c r="D169" s="58">
        <f t="shared" si="9"/>
        <v>13112566.21</v>
      </c>
      <c r="E169" s="59"/>
      <c r="F169" s="60" t="str">
        <f t="shared" si="1"/>
        <v>-</v>
      </c>
      <c r="G169" s="5" t="str">
        <f t="shared" si="2"/>
        <v>nops</v>
      </c>
      <c r="H169" s="83"/>
      <c r="I169" s="62" t="str">
        <f t="shared" si="10"/>
        <v/>
      </c>
      <c r="J169" s="62" t="str">
        <f t="shared" si="3"/>
        <v/>
      </c>
      <c r="K169" s="68" t="str">
        <f t="shared" si="11"/>
        <v/>
      </c>
      <c r="L169" s="64"/>
      <c r="M169" s="65"/>
      <c r="N169" s="65"/>
      <c r="O169" s="65"/>
      <c r="P169" s="4"/>
      <c r="Q169" s="4"/>
      <c r="R169" s="4"/>
      <c r="S169" s="4"/>
      <c r="T169" s="4"/>
      <c r="U169" s="4"/>
      <c r="V169" s="8">
        <f t="shared" si="12"/>
        <v>82552362.52</v>
      </c>
      <c r="W169" s="5" t="str">
        <f t="shared" si="7"/>
        <v>nops</v>
      </c>
      <c r="X169" s="67"/>
      <c r="Y169" s="4"/>
      <c r="Z169" s="4"/>
      <c r="AA169" s="4"/>
    </row>
    <row r="170" ht="19.5" customHeight="1">
      <c r="A170" s="56" t="s">
        <v>28</v>
      </c>
      <c r="B170" s="57">
        <v>151.0</v>
      </c>
      <c r="C170" s="58">
        <f t="shared" si="8"/>
        <v>137070025.5</v>
      </c>
      <c r="D170" s="58">
        <f t="shared" si="9"/>
        <v>14686074.16</v>
      </c>
      <c r="E170" s="59"/>
      <c r="F170" s="60" t="str">
        <f t="shared" si="1"/>
        <v>-</v>
      </c>
      <c r="G170" s="5" t="str">
        <f t="shared" si="2"/>
        <v>nops</v>
      </c>
      <c r="H170" s="83"/>
      <c r="I170" s="62" t="str">
        <f t="shared" si="10"/>
        <v/>
      </c>
      <c r="J170" s="62" t="str">
        <f t="shared" si="3"/>
        <v/>
      </c>
      <c r="K170" s="68" t="str">
        <f t="shared" si="11"/>
        <v/>
      </c>
      <c r="L170" s="64"/>
      <c r="M170" s="65"/>
      <c r="N170" s="65"/>
      <c r="O170" s="65"/>
      <c r="P170" s="4"/>
      <c r="Q170" s="4"/>
      <c r="R170" s="4"/>
      <c r="S170" s="4"/>
      <c r="T170" s="4"/>
      <c r="U170" s="4"/>
      <c r="V170" s="8">
        <f t="shared" si="12"/>
        <v>92458646.02</v>
      </c>
      <c r="W170" s="5" t="str">
        <f t="shared" si="7"/>
        <v>nops</v>
      </c>
      <c r="X170" s="67"/>
      <c r="Y170" s="4"/>
      <c r="Z170" s="4"/>
      <c r="AA170" s="4"/>
    </row>
    <row r="171" ht="19.5" customHeight="1">
      <c r="A171" s="56" t="s">
        <v>28</v>
      </c>
      <c r="B171" s="57">
        <v>152.0</v>
      </c>
      <c r="C171" s="58">
        <f t="shared" si="8"/>
        <v>153518428.5</v>
      </c>
      <c r="D171" s="58">
        <f t="shared" si="9"/>
        <v>16448403.06</v>
      </c>
      <c r="E171" s="59"/>
      <c r="F171" s="60" t="str">
        <f t="shared" si="1"/>
        <v>-</v>
      </c>
      <c r="G171" s="5" t="str">
        <f t="shared" si="2"/>
        <v>nops</v>
      </c>
      <c r="H171" s="83"/>
      <c r="I171" s="62" t="str">
        <f t="shared" si="10"/>
        <v/>
      </c>
      <c r="J171" s="62" t="str">
        <f t="shared" si="3"/>
        <v/>
      </c>
      <c r="K171" s="68" t="str">
        <f t="shared" si="11"/>
        <v/>
      </c>
      <c r="L171" s="64"/>
      <c r="M171" s="65"/>
      <c r="N171" s="65"/>
      <c r="O171" s="65"/>
      <c r="P171" s="4"/>
      <c r="Q171" s="4"/>
      <c r="R171" s="4"/>
      <c r="S171" s="4"/>
      <c r="T171" s="4"/>
      <c r="U171" s="4"/>
      <c r="V171" s="8">
        <f t="shared" si="12"/>
        <v>103553683.5</v>
      </c>
      <c r="W171" s="5" t="str">
        <f t="shared" si="7"/>
        <v>nops</v>
      </c>
      <c r="X171" s="67"/>
      <c r="Y171" s="4"/>
      <c r="Z171" s="4"/>
      <c r="AA171" s="4"/>
    </row>
    <row r="172" ht="19.5" customHeight="1">
      <c r="A172" s="56" t="s">
        <v>28</v>
      </c>
      <c r="B172" s="57">
        <v>153.0</v>
      </c>
      <c r="C172" s="58">
        <f t="shared" si="8"/>
        <v>171940640</v>
      </c>
      <c r="D172" s="58">
        <f t="shared" si="9"/>
        <v>18422211.42</v>
      </c>
      <c r="E172" s="59"/>
      <c r="F172" s="60" t="str">
        <f t="shared" si="1"/>
        <v>-</v>
      </c>
      <c r="G172" s="5" t="str">
        <f t="shared" si="2"/>
        <v>nops</v>
      </c>
      <c r="H172" s="83"/>
      <c r="I172" s="62" t="str">
        <f t="shared" si="10"/>
        <v/>
      </c>
      <c r="J172" s="62" t="str">
        <f t="shared" si="3"/>
        <v/>
      </c>
      <c r="K172" s="68" t="str">
        <f t="shared" si="11"/>
        <v/>
      </c>
      <c r="L172" s="64"/>
      <c r="M172" s="65"/>
      <c r="N172" s="65"/>
      <c r="O172" s="65"/>
      <c r="P172" s="4"/>
      <c r="Q172" s="4"/>
      <c r="R172" s="4"/>
      <c r="S172" s="4"/>
      <c r="T172" s="4"/>
      <c r="U172" s="4"/>
      <c r="V172" s="8">
        <f t="shared" si="12"/>
        <v>115980125.6</v>
      </c>
      <c r="W172" s="5" t="str">
        <f t="shared" si="7"/>
        <v>nops</v>
      </c>
      <c r="X172" s="67"/>
      <c r="Y172" s="4"/>
      <c r="Z172" s="4"/>
      <c r="AA172" s="4"/>
    </row>
    <row r="173" ht="19.5" customHeight="1">
      <c r="A173" s="56" t="s">
        <v>28</v>
      </c>
      <c r="B173" s="57">
        <v>154.0</v>
      </c>
      <c r="C173" s="58">
        <f t="shared" si="8"/>
        <v>192573516.8</v>
      </c>
      <c r="D173" s="58">
        <f t="shared" si="9"/>
        <v>20632876.8</v>
      </c>
      <c r="E173" s="59"/>
      <c r="F173" s="60" t="str">
        <f t="shared" si="1"/>
        <v>-</v>
      </c>
      <c r="G173" s="5" t="str">
        <f t="shared" si="2"/>
        <v>nops</v>
      </c>
      <c r="H173" s="83"/>
      <c r="I173" s="62" t="str">
        <f t="shared" si="10"/>
        <v/>
      </c>
      <c r="J173" s="62" t="str">
        <f t="shared" si="3"/>
        <v/>
      </c>
      <c r="K173" s="68" t="str">
        <f t="shared" si="11"/>
        <v/>
      </c>
      <c r="L173" s="64"/>
      <c r="M173" s="65"/>
      <c r="N173" s="65"/>
      <c r="O173" s="65"/>
      <c r="P173" s="4"/>
      <c r="Q173" s="4"/>
      <c r="R173" s="4"/>
      <c r="S173" s="4"/>
      <c r="T173" s="4"/>
      <c r="U173" s="4"/>
      <c r="V173" s="8">
        <f t="shared" si="12"/>
        <v>129897740.6</v>
      </c>
      <c r="W173" s="5" t="str">
        <f t="shared" si="7"/>
        <v>nops</v>
      </c>
      <c r="X173" s="67"/>
      <c r="Y173" s="4"/>
      <c r="Z173" s="4"/>
      <c r="AA173" s="4"/>
    </row>
    <row r="174" ht="19.5" customHeight="1">
      <c r="A174" s="56" t="s">
        <v>28</v>
      </c>
      <c r="B174" s="57">
        <v>155.0</v>
      </c>
      <c r="C174" s="58">
        <f t="shared" si="8"/>
        <v>215682338.8</v>
      </c>
      <c r="D174" s="58">
        <f t="shared" si="9"/>
        <v>23108822.01</v>
      </c>
      <c r="E174" s="59"/>
      <c r="F174" s="60" t="str">
        <f t="shared" si="1"/>
        <v>-</v>
      </c>
      <c r="G174" s="5" t="str">
        <f t="shared" si="2"/>
        <v>nops</v>
      </c>
      <c r="H174" s="83"/>
      <c r="I174" s="62" t="str">
        <f t="shared" si="10"/>
        <v/>
      </c>
      <c r="J174" s="62" t="str">
        <f t="shared" si="3"/>
        <v/>
      </c>
      <c r="K174" s="68" t="str">
        <f t="shared" si="11"/>
        <v/>
      </c>
      <c r="L174" s="64"/>
      <c r="M174" s="65"/>
      <c r="N174" s="65"/>
      <c r="O174" s="65"/>
      <c r="P174" s="4"/>
      <c r="Q174" s="4"/>
      <c r="R174" s="4"/>
      <c r="S174" s="4"/>
      <c r="T174" s="4"/>
      <c r="U174" s="4"/>
      <c r="V174" s="8">
        <f t="shared" si="12"/>
        <v>145485469.5</v>
      </c>
      <c r="W174" s="5" t="str">
        <f t="shared" si="7"/>
        <v>nops</v>
      </c>
      <c r="X174" s="67"/>
      <c r="Y174" s="4"/>
      <c r="Z174" s="4"/>
      <c r="AA174" s="4"/>
    </row>
    <row r="175" ht="19.5" customHeight="1">
      <c r="A175" s="56" t="s">
        <v>28</v>
      </c>
      <c r="B175" s="57">
        <v>156.0</v>
      </c>
      <c r="C175" s="58">
        <f t="shared" si="8"/>
        <v>241564219.4</v>
      </c>
      <c r="D175" s="58">
        <f t="shared" si="9"/>
        <v>25881880.65</v>
      </c>
      <c r="E175" s="59"/>
      <c r="F175" s="60" t="str">
        <f t="shared" si="1"/>
        <v>-</v>
      </c>
      <c r="G175" s="5" t="str">
        <f t="shared" si="2"/>
        <v>nops</v>
      </c>
      <c r="H175" s="83"/>
      <c r="I175" s="62" t="str">
        <f t="shared" si="10"/>
        <v/>
      </c>
      <c r="J175" s="62" t="str">
        <f t="shared" si="3"/>
        <v/>
      </c>
      <c r="K175" s="68" t="str">
        <f t="shared" si="11"/>
        <v/>
      </c>
      <c r="L175" s="64"/>
      <c r="M175" s="65"/>
      <c r="N175" s="65"/>
      <c r="O175" s="65"/>
      <c r="P175" s="4"/>
      <c r="Q175" s="4"/>
      <c r="R175" s="4"/>
      <c r="S175" s="4"/>
      <c r="T175" s="4"/>
      <c r="U175" s="4"/>
      <c r="V175" s="8">
        <f t="shared" si="12"/>
        <v>162943725.8</v>
      </c>
      <c r="W175" s="5" t="str">
        <f t="shared" si="7"/>
        <v>nops</v>
      </c>
      <c r="X175" s="67"/>
      <c r="Y175" s="4"/>
      <c r="Z175" s="4"/>
      <c r="AA175" s="4"/>
    </row>
    <row r="176" ht="19.5" customHeight="1">
      <c r="A176" s="56" t="s">
        <v>28</v>
      </c>
      <c r="B176" s="57">
        <v>157.0</v>
      </c>
      <c r="C176" s="58">
        <f t="shared" si="8"/>
        <v>270551925.8</v>
      </c>
      <c r="D176" s="58">
        <f t="shared" si="9"/>
        <v>28987706.33</v>
      </c>
      <c r="E176" s="59"/>
      <c r="F176" s="60" t="str">
        <f t="shared" si="1"/>
        <v>-</v>
      </c>
      <c r="G176" s="5" t="str">
        <f t="shared" si="2"/>
        <v>nops</v>
      </c>
      <c r="H176" s="83"/>
      <c r="I176" s="62" t="str">
        <f t="shared" si="10"/>
        <v/>
      </c>
      <c r="J176" s="62" t="str">
        <f t="shared" si="3"/>
        <v/>
      </c>
      <c r="K176" s="68" t="str">
        <f t="shared" si="11"/>
        <v/>
      </c>
      <c r="L176" s="64"/>
      <c r="M176" s="65"/>
      <c r="N176" s="65"/>
      <c r="O176" s="65"/>
      <c r="P176" s="4"/>
      <c r="Q176" s="4"/>
      <c r="R176" s="4"/>
      <c r="S176" s="4"/>
      <c r="T176" s="4"/>
      <c r="U176" s="4"/>
      <c r="V176" s="8">
        <f t="shared" si="12"/>
        <v>182496973</v>
      </c>
      <c r="W176" s="5" t="str">
        <f t="shared" si="7"/>
        <v>nops</v>
      </c>
      <c r="X176" s="67"/>
      <c r="Y176" s="4"/>
      <c r="Z176" s="4"/>
      <c r="AA176" s="4"/>
    </row>
    <row r="177" ht="19.5" customHeight="1">
      <c r="A177" s="56" t="s">
        <v>28</v>
      </c>
      <c r="B177" s="57">
        <v>158.0</v>
      </c>
      <c r="C177" s="58">
        <f t="shared" si="8"/>
        <v>303018156.8</v>
      </c>
      <c r="D177" s="58">
        <f t="shared" si="9"/>
        <v>32466231.09</v>
      </c>
      <c r="E177" s="59"/>
      <c r="F177" s="60" t="str">
        <f t="shared" si="1"/>
        <v>-</v>
      </c>
      <c r="G177" s="5" t="str">
        <f t="shared" si="2"/>
        <v>nops</v>
      </c>
      <c r="H177" s="83"/>
      <c r="I177" s="62" t="str">
        <f t="shared" si="10"/>
        <v/>
      </c>
      <c r="J177" s="62" t="str">
        <f t="shared" si="3"/>
        <v/>
      </c>
      <c r="K177" s="68" t="str">
        <f t="shared" si="11"/>
        <v/>
      </c>
      <c r="L177" s="64"/>
      <c r="M177" s="65"/>
      <c r="N177" s="65"/>
      <c r="O177" s="65"/>
      <c r="P177" s="4"/>
      <c r="Q177" s="4"/>
      <c r="R177" s="4"/>
      <c r="S177" s="4"/>
      <c r="T177" s="4"/>
      <c r="U177" s="4"/>
      <c r="V177" s="8">
        <f t="shared" si="12"/>
        <v>204396609.7</v>
      </c>
      <c r="W177" s="5" t="str">
        <f t="shared" si="7"/>
        <v>nops</v>
      </c>
      <c r="X177" s="67"/>
      <c r="Y177" s="4"/>
      <c r="Z177" s="4"/>
      <c r="AA177" s="4"/>
    </row>
    <row r="178" ht="19.5" customHeight="1">
      <c r="A178" s="56" t="s">
        <v>28</v>
      </c>
      <c r="B178" s="57">
        <v>159.0</v>
      </c>
      <c r="C178" s="58">
        <f t="shared" si="8"/>
        <v>339380335.7</v>
      </c>
      <c r="D178" s="58">
        <f t="shared" si="9"/>
        <v>36362178.82</v>
      </c>
      <c r="E178" s="59"/>
      <c r="F178" s="60" t="str">
        <f t="shared" si="1"/>
        <v>-</v>
      </c>
      <c r="G178" s="5" t="str">
        <f t="shared" si="2"/>
        <v>nops</v>
      </c>
      <c r="H178" s="83"/>
      <c r="I178" s="62" t="str">
        <f t="shared" si="10"/>
        <v/>
      </c>
      <c r="J178" s="62" t="str">
        <f t="shared" si="3"/>
        <v/>
      </c>
      <c r="K178" s="68" t="str">
        <f t="shared" si="11"/>
        <v/>
      </c>
      <c r="L178" s="64"/>
      <c r="M178" s="65"/>
      <c r="N178" s="65"/>
      <c r="O178" s="65"/>
      <c r="P178" s="4"/>
      <c r="Q178" s="4"/>
      <c r="R178" s="4"/>
      <c r="S178" s="4"/>
      <c r="T178" s="4"/>
      <c r="U178" s="4"/>
      <c r="V178" s="8">
        <f t="shared" si="12"/>
        <v>228924202.9</v>
      </c>
      <c r="W178" s="5" t="str">
        <f t="shared" si="7"/>
        <v>nops</v>
      </c>
      <c r="X178" s="67"/>
      <c r="Y178" s="4"/>
      <c r="Z178" s="4"/>
      <c r="AA178" s="4"/>
    </row>
    <row r="179" ht="19.5" customHeight="1">
      <c r="A179" s="56" t="s">
        <v>28</v>
      </c>
      <c r="B179" s="57">
        <v>160.0</v>
      </c>
      <c r="C179" s="58">
        <f t="shared" si="8"/>
        <v>380105975.9</v>
      </c>
      <c r="D179" s="58">
        <f t="shared" si="9"/>
        <v>40725640.28</v>
      </c>
      <c r="E179" s="59"/>
      <c r="F179" s="60" t="str">
        <f t="shared" si="1"/>
        <v>-</v>
      </c>
      <c r="G179" s="5" t="str">
        <f t="shared" si="2"/>
        <v>nops</v>
      </c>
      <c r="H179" s="83"/>
      <c r="I179" s="62" t="str">
        <f t="shared" si="10"/>
        <v/>
      </c>
      <c r="J179" s="62" t="str">
        <f t="shared" si="3"/>
        <v/>
      </c>
      <c r="K179" s="68" t="str">
        <f t="shared" si="11"/>
        <v/>
      </c>
      <c r="L179" s="64"/>
      <c r="M179" s="65"/>
      <c r="N179" s="65"/>
      <c r="O179" s="65"/>
      <c r="P179" s="4"/>
      <c r="Q179" s="4"/>
      <c r="R179" s="4"/>
      <c r="S179" s="4"/>
      <c r="T179" s="4"/>
      <c r="U179" s="4"/>
      <c r="V179" s="8">
        <f t="shared" si="12"/>
        <v>256395107.2</v>
      </c>
      <c r="W179" s="5" t="str">
        <f t="shared" si="7"/>
        <v>nops</v>
      </c>
      <c r="X179" s="67"/>
      <c r="Y179" s="4"/>
      <c r="Z179" s="4"/>
      <c r="AA179" s="4"/>
    </row>
    <row r="180" ht="19.5" customHeight="1">
      <c r="A180" s="56" t="s">
        <v>28</v>
      </c>
      <c r="B180" s="57">
        <v>161.0</v>
      </c>
      <c r="C180" s="58">
        <f t="shared" si="8"/>
        <v>425718693.1</v>
      </c>
      <c r="D180" s="58">
        <f t="shared" si="9"/>
        <v>45612717.11</v>
      </c>
      <c r="E180" s="59"/>
      <c r="F180" s="60" t="str">
        <f t="shared" si="1"/>
        <v>-</v>
      </c>
      <c r="G180" s="5" t="str">
        <f t="shared" si="2"/>
        <v>nops</v>
      </c>
      <c r="H180" s="83"/>
      <c r="I180" s="62" t="str">
        <f t="shared" si="10"/>
        <v/>
      </c>
      <c r="J180" s="62" t="str">
        <f t="shared" si="3"/>
        <v/>
      </c>
      <c r="K180" s="68" t="str">
        <f t="shared" si="11"/>
        <v/>
      </c>
      <c r="L180" s="64"/>
      <c r="M180" s="65"/>
      <c r="N180" s="65"/>
      <c r="O180" s="65"/>
      <c r="P180" s="4"/>
      <c r="Q180" s="4"/>
      <c r="R180" s="4"/>
      <c r="S180" s="4"/>
      <c r="T180" s="4"/>
      <c r="U180" s="4"/>
      <c r="V180" s="8">
        <f t="shared" si="12"/>
        <v>287162520.1</v>
      </c>
      <c r="W180" s="5" t="str">
        <f t="shared" si="7"/>
        <v>nops</v>
      </c>
      <c r="X180" s="67"/>
      <c r="Y180" s="4"/>
      <c r="Z180" s="4"/>
      <c r="AA180" s="4"/>
    </row>
    <row r="181" ht="19.5" customHeight="1">
      <c r="A181" s="56" t="s">
        <v>28</v>
      </c>
      <c r="B181" s="57">
        <v>162.0</v>
      </c>
      <c r="C181" s="58">
        <f t="shared" si="8"/>
        <v>476804936.2</v>
      </c>
      <c r="D181" s="58">
        <f t="shared" si="9"/>
        <v>51086243.17</v>
      </c>
      <c r="E181" s="59"/>
      <c r="F181" s="60" t="str">
        <f t="shared" si="1"/>
        <v>-</v>
      </c>
      <c r="G181" s="5" t="str">
        <f t="shared" si="2"/>
        <v>nops</v>
      </c>
      <c r="H181" s="83"/>
      <c r="I181" s="62" t="str">
        <f t="shared" si="10"/>
        <v/>
      </c>
      <c r="J181" s="62" t="str">
        <f t="shared" si="3"/>
        <v/>
      </c>
      <c r="K181" s="68" t="str">
        <f t="shared" si="11"/>
        <v/>
      </c>
      <c r="L181" s="64"/>
      <c r="M181" s="65"/>
      <c r="N181" s="65"/>
      <c r="O181" s="65"/>
      <c r="P181" s="4"/>
      <c r="Q181" s="4"/>
      <c r="R181" s="4"/>
      <c r="S181" s="4"/>
      <c r="T181" s="4"/>
      <c r="U181" s="4"/>
      <c r="V181" s="8">
        <f t="shared" si="12"/>
        <v>321622022.5</v>
      </c>
      <c r="W181" s="5" t="str">
        <f t="shared" si="7"/>
        <v>nops</v>
      </c>
      <c r="X181" s="67"/>
      <c r="Y181" s="4"/>
      <c r="Z181" s="4"/>
      <c r="AA181" s="4"/>
    </row>
    <row r="182" ht="19.5" customHeight="1">
      <c r="A182" s="56" t="s">
        <v>28</v>
      </c>
      <c r="B182" s="57">
        <v>163.0</v>
      </c>
      <c r="C182" s="58">
        <f t="shared" si="8"/>
        <v>534021528.6</v>
      </c>
      <c r="D182" s="58">
        <f t="shared" si="9"/>
        <v>57216592.35</v>
      </c>
      <c r="E182" s="59"/>
      <c r="F182" s="60" t="str">
        <f t="shared" si="1"/>
        <v>-</v>
      </c>
      <c r="G182" s="5" t="str">
        <f t="shared" si="2"/>
        <v>nops</v>
      </c>
      <c r="H182" s="83"/>
      <c r="I182" s="62" t="str">
        <f t="shared" si="10"/>
        <v/>
      </c>
      <c r="J182" s="62" t="str">
        <f t="shared" si="3"/>
        <v/>
      </c>
      <c r="K182" s="68" t="str">
        <f t="shared" si="11"/>
        <v/>
      </c>
      <c r="L182" s="64"/>
      <c r="M182" s="65"/>
      <c r="N182" s="65"/>
      <c r="O182" s="65"/>
      <c r="P182" s="4"/>
      <c r="Q182" s="4"/>
      <c r="R182" s="4"/>
      <c r="S182" s="4"/>
      <c r="T182" s="4"/>
      <c r="U182" s="4"/>
      <c r="V182" s="8">
        <f t="shared" si="12"/>
        <v>360216665.2</v>
      </c>
      <c r="W182" s="5" t="str">
        <f t="shared" si="7"/>
        <v>nops</v>
      </c>
      <c r="X182" s="67"/>
      <c r="Y182" s="4"/>
      <c r="Z182" s="4"/>
      <c r="AA182" s="4"/>
    </row>
    <row r="183" ht="19.5" customHeight="1">
      <c r="A183" s="56" t="s">
        <v>28</v>
      </c>
      <c r="B183" s="57">
        <v>164.0</v>
      </c>
      <c r="C183" s="58">
        <f t="shared" si="8"/>
        <v>598104112</v>
      </c>
      <c r="D183" s="58">
        <f t="shared" si="9"/>
        <v>64082583.43</v>
      </c>
      <c r="E183" s="59"/>
      <c r="F183" s="60" t="str">
        <f t="shared" si="1"/>
        <v>-</v>
      </c>
      <c r="G183" s="5" t="str">
        <f t="shared" si="2"/>
        <v>nops</v>
      </c>
      <c r="H183" s="83"/>
      <c r="I183" s="62" t="str">
        <f t="shared" si="10"/>
        <v/>
      </c>
      <c r="J183" s="62" t="str">
        <f t="shared" si="3"/>
        <v/>
      </c>
      <c r="K183" s="68" t="str">
        <f t="shared" si="11"/>
        <v/>
      </c>
      <c r="L183" s="64"/>
      <c r="M183" s="65"/>
      <c r="N183" s="65"/>
      <c r="O183" s="65"/>
      <c r="P183" s="4"/>
      <c r="Q183" s="4"/>
      <c r="R183" s="4"/>
      <c r="S183" s="4"/>
      <c r="T183" s="4"/>
      <c r="U183" s="4"/>
      <c r="V183" s="8">
        <f t="shared" si="12"/>
        <v>403442665</v>
      </c>
      <c r="W183" s="5" t="str">
        <f t="shared" si="7"/>
        <v>nops</v>
      </c>
      <c r="X183" s="67"/>
      <c r="Y183" s="4"/>
      <c r="Z183" s="4"/>
      <c r="AA183" s="4"/>
    </row>
    <row r="184" ht="19.5" customHeight="1">
      <c r="A184" s="56" t="s">
        <v>28</v>
      </c>
      <c r="B184" s="57">
        <v>165.0</v>
      </c>
      <c r="C184" s="58">
        <f t="shared" si="8"/>
        <v>669876605.4</v>
      </c>
      <c r="D184" s="58">
        <f t="shared" si="9"/>
        <v>71772493.44</v>
      </c>
      <c r="E184" s="59"/>
      <c r="F184" s="60" t="str">
        <f t="shared" si="1"/>
        <v>-</v>
      </c>
      <c r="G184" s="5" t="str">
        <f t="shared" si="2"/>
        <v>nops</v>
      </c>
      <c r="H184" s="83"/>
      <c r="I184" s="62" t="str">
        <f t="shared" si="10"/>
        <v/>
      </c>
      <c r="J184" s="62" t="str">
        <f t="shared" si="3"/>
        <v/>
      </c>
      <c r="K184" s="68" t="str">
        <f t="shared" si="11"/>
        <v/>
      </c>
      <c r="L184" s="64"/>
      <c r="M184" s="65"/>
      <c r="N184" s="65"/>
      <c r="O184" s="65"/>
      <c r="P184" s="4"/>
      <c r="Q184" s="4"/>
      <c r="R184" s="4"/>
      <c r="S184" s="4"/>
      <c r="T184" s="4"/>
      <c r="U184" s="4"/>
      <c r="V184" s="8">
        <f t="shared" si="12"/>
        <v>451855784.8</v>
      </c>
      <c r="W184" s="5" t="str">
        <f t="shared" si="7"/>
        <v>nops</v>
      </c>
      <c r="X184" s="67"/>
      <c r="Y184" s="4"/>
      <c r="Z184" s="4"/>
      <c r="AA184" s="4"/>
    </row>
    <row r="185" ht="19.5" customHeight="1">
      <c r="A185" s="56" t="s">
        <v>28</v>
      </c>
      <c r="B185" s="57">
        <v>166.0</v>
      </c>
      <c r="C185" s="58">
        <f t="shared" si="8"/>
        <v>750261798.1</v>
      </c>
      <c r="D185" s="58">
        <f t="shared" si="9"/>
        <v>80385192.65</v>
      </c>
      <c r="E185" s="59"/>
      <c r="F185" s="60" t="str">
        <f t="shared" si="1"/>
        <v>-</v>
      </c>
      <c r="G185" s="5" t="str">
        <f t="shared" si="2"/>
        <v>nops</v>
      </c>
      <c r="H185" s="83"/>
      <c r="I185" s="62" t="str">
        <f t="shared" si="10"/>
        <v/>
      </c>
      <c r="J185" s="62" t="str">
        <f t="shared" si="3"/>
        <v/>
      </c>
      <c r="K185" s="68" t="str">
        <f t="shared" si="11"/>
        <v/>
      </c>
      <c r="L185" s="64"/>
      <c r="M185" s="65"/>
      <c r="N185" s="65"/>
      <c r="O185" s="65"/>
      <c r="P185" s="4"/>
      <c r="Q185" s="4"/>
      <c r="R185" s="4"/>
      <c r="S185" s="4"/>
      <c r="T185" s="4"/>
      <c r="U185" s="4"/>
      <c r="V185" s="8">
        <f t="shared" si="12"/>
        <v>506078479</v>
      </c>
      <c r="W185" s="5" t="str">
        <f t="shared" si="7"/>
        <v>nops</v>
      </c>
      <c r="X185" s="67"/>
      <c r="Y185" s="4"/>
      <c r="Z185" s="4"/>
      <c r="AA185" s="4"/>
    </row>
    <row r="186" ht="19.5" customHeight="1">
      <c r="A186" s="56" t="s">
        <v>28</v>
      </c>
      <c r="B186" s="57">
        <v>167.0</v>
      </c>
      <c r="C186" s="58">
        <f t="shared" si="8"/>
        <v>840293213.9</v>
      </c>
      <c r="D186" s="58">
        <f t="shared" si="9"/>
        <v>90031415.77</v>
      </c>
      <c r="E186" s="59"/>
      <c r="F186" s="60" t="str">
        <f t="shared" si="1"/>
        <v>-</v>
      </c>
      <c r="G186" s="5" t="str">
        <f t="shared" si="2"/>
        <v>nops</v>
      </c>
      <c r="H186" s="83"/>
      <c r="I186" s="62" t="str">
        <f t="shared" si="10"/>
        <v/>
      </c>
      <c r="J186" s="62" t="str">
        <f t="shared" si="3"/>
        <v/>
      </c>
      <c r="K186" s="68" t="str">
        <f t="shared" si="11"/>
        <v/>
      </c>
      <c r="L186" s="64"/>
      <c r="M186" s="65"/>
      <c r="N186" s="65"/>
      <c r="O186" s="65"/>
      <c r="P186" s="4"/>
      <c r="Q186" s="4"/>
      <c r="R186" s="4"/>
      <c r="S186" s="4"/>
      <c r="T186" s="4"/>
      <c r="U186" s="4"/>
      <c r="V186" s="8">
        <f t="shared" si="12"/>
        <v>566807896.5</v>
      </c>
      <c r="W186" s="5" t="str">
        <f t="shared" si="7"/>
        <v>nops</v>
      </c>
      <c r="X186" s="67"/>
      <c r="Y186" s="4"/>
      <c r="Z186" s="4"/>
      <c r="AA186" s="4"/>
    </row>
    <row r="187" ht="19.5" customHeight="1">
      <c r="A187" s="56" t="s">
        <v>28</v>
      </c>
      <c r="B187" s="57">
        <v>168.0</v>
      </c>
      <c r="C187" s="58">
        <f t="shared" si="8"/>
        <v>941128399.5</v>
      </c>
      <c r="D187" s="58">
        <f t="shared" si="9"/>
        <v>100835185.7</v>
      </c>
      <c r="E187" s="59"/>
      <c r="F187" s="60" t="str">
        <f t="shared" si="1"/>
        <v>-</v>
      </c>
      <c r="G187" s="5" t="str">
        <f t="shared" si="2"/>
        <v>nops</v>
      </c>
      <c r="H187" s="83"/>
      <c r="I187" s="62" t="str">
        <f t="shared" si="10"/>
        <v/>
      </c>
      <c r="J187" s="62" t="str">
        <f t="shared" si="3"/>
        <v/>
      </c>
      <c r="K187" s="68" t="str">
        <f t="shared" si="11"/>
        <v/>
      </c>
      <c r="L187" s="64"/>
      <c r="M187" s="65"/>
      <c r="N187" s="65"/>
      <c r="O187" s="65"/>
      <c r="P187" s="4"/>
      <c r="Q187" s="4"/>
      <c r="R187" s="4"/>
      <c r="S187" s="4"/>
      <c r="T187" s="4"/>
      <c r="U187" s="4"/>
      <c r="V187" s="8">
        <f t="shared" si="12"/>
        <v>634824844</v>
      </c>
      <c r="W187" s="5" t="str">
        <f t="shared" si="7"/>
        <v>nops</v>
      </c>
      <c r="X187" s="67"/>
      <c r="Y187" s="4"/>
      <c r="Z187" s="4"/>
      <c r="AA187" s="4"/>
    </row>
    <row r="188" ht="19.5" customHeight="1">
      <c r="A188" s="56" t="s">
        <v>28</v>
      </c>
      <c r="B188" s="57">
        <v>169.0</v>
      </c>
      <c r="C188" s="58">
        <f t="shared" si="8"/>
        <v>1054063807</v>
      </c>
      <c r="D188" s="58">
        <f t="shared" si="9"/>
        <v>112935407.9</v>
      </c>
      <c r="E188" s="59"/>
      <c r="F188" s="60" t="str">
        <f t="shared" si="1"/>
        <v>-</v>
      </c>
      <c r="G188" s="5" t="str">
        <f t="shared" si="2"/>
        <v>nops</v>
      </c>
      <c r="H188" s="83"/>
      <c r="I188" s="62" t="str">
        <f t="shared" si="10"/>
        <v/>
      </c>
      <c r="J188" s="62" t="str">
        <f t="shared" si="3"/>
        <v/>
      </c>
      <c r="K188" s="68" t="str">
        <f t="shared" si="11"/>
        <v/>
      </c>
      <c r="L188" s="64"/>
      <c r="M188" s="65"/>
      <c r="N188" s="65"/>
      <c r="O188" s="65"/>
      <c r="P188" s="4"/>
      <c r="Q188" s="4"/>
      <c r="R188" s="4"/>
      <c r="S188" s="4"/>
      <c r="T188" s="4"/>
      <c r="U188" s="4"/>
      <c r="V188" s="8">
        <f t="shared" si="12"/>
        <v>711003825.3</v>
      </c>
      <c r="W188" s="5" t="str">
        <f t="shared" si="7"/>
        <v>nops</v>
      </c>
      <c r="X188" s="67"/>
      <c r="Y188" s="4"/>
      <c r="Z188" s="4"/>
      <c r="AA188" s="4"/>
    </row>
    <row r="189" ht="19.5" customHeight="1">
      <c r="A189" s="56" t="s">
        <v>28</v>
      </c>
      <c r="B189" s="57">
        <v>170.0</v>
      </c>
      <c r="C189" s="58">
        <f t="shared" si="8"/>
        <v>1180551464</v>
      </c>
      <c r="D189" s="58">
        <f t="shared" si="9"/>
        <v>126487656.9</v>
      </c>
      <c r="E189" s="59"/>
      <c r="F189" s="60" t="str">
        <f t="shared" si="1"/>
        <v>-</v>
      </c>
      <c r="G189" s="5" t="str">
        <f t="shared" si="2"/>
        <v>nops</v>
      </c>
      <c r="H189" s="83"/>
      <c r="I189" s="62" t="str">
        <f t="shared" si="10"/>
        <v/>
      </c>
      <c r="J189" s="62" t="str">
        <f t="shared" si="3"/>
        <v/>
      </c>
      <c r="K189" s="68" t="str">
        <f t="shared" si="11"/>
        <v/>
      </c>
      <c r="L189" s="64"/>
      <c r="M189" s="65"/>
      <c r="N189" s="65"/>
      <c r="O189" s="65"/>
      <c r="P189" s="4"/>
      <c r="Q189" s="4"/>
      <c r="R189" s="4"/>
      <c r="S189" s="4"/>
      <c r="T189" s="4"/>
      <c r="U189" s="4"/>
      <c r="V189" s="8">
        <f t="shared" si="12"/>
        <v>796324284.4</v>
      </c>
      <c r="W189" s="5" t="str">
        <f t="shared" si="7"/>
        <v>nops</v>
      </c>
      <c r="X189" s="67"/>
      <c r="Y189" s="4"/>
      <c r="Z189" s="4"/>
      <c r="AA189" s="4"/>
    </row>
    <row r="190" ht="19.5" customHeight="1">
      <c r="A190" s="56" t="s">
        <v>28</v>
      </c>
      <c r="B190" s="57">
        <v>171.0</v>
      </c>
      <c r="C190" s="58">
        <f t="shared" si="8"/>
        <v>1322217640</v>
      </c>
      <c r="D190" s="58">
        <f t="shared" si="9"/>
        <v>141666175.7</v>
      </c>
      <c r="E190" s="59"/>
      <c r="F190" s="60" t="str">
        <f t="shared" si="1"/>
        <v>-</v>
      </c>
      <c r="G190" s="5" t="str">
        <f t="shared" si="2"/>
        <v>nops</v>
      </c>
      <c r="H190" s="83"/>
      <c r="I190" s="62" t="str">
        <f t="shared" si="10"/>
        <v/>
      </c>
      <c r="J190" s="62" t="str">
        <f t="shared" si="3"/>
        <v/>
      </c>
      <c r="K190" s="68" t="str">
        <f t="shared" si="11"/>
        <v/>
      </c>
      <c r="L190" s="64"/>
      <c r="M190" s="65"/>
      <c r="N190" s="65"/>
      <c r="O190" s="65"/>
      <c r="P190" s="4"/>
      <c r="Q190" s="4"/>
      <c r="R190" s="4"/>
      <c r="S190" s="4"/>
      <c r="T190" s="4"/>
      <c r="U190" s="4"/>
      <c r="V190" s="8">
        <f t="shared" si="12"/>
        <v>891883198.5</v>
      </c>
      <c r="W190" s="5" t="str">
        <f t="shared" si="7"/>
        <v>nops</v>
      </c>
      <c r="X190" s="67"/>
      <c r="Y190" s="4"/>
      <c r="Z190" s="4"/>
      <c r="AA190" s="4"/>
    </row>
    <row r="191" ht="19.5" customHeight="1">
      <c r="A191" s="56" t="s">
        <v>28</v>
      </c>
      <c r="B191" s="57">
        <v>172.0</v>
      </c>
      <c r="C191" s="58">
        <f t="shared" si="8"/>
        <v>1480883757</v>
      </c>
      <c r="D191" s="58">
        <f t="shared" si="9"/>
        <v>158666116.8</v>
      </c>
      <c r="E191" s="59"/>
      <c r="F191" s="60" t="str">
        <f t="shared" si="1"/>
        <v>-</v>
      </c>
      <c r="G191" s="5" t="str">
        <f t="shared" si="2"/>
        <v>nops</v>
      </c>
      <c r="H191" s="83"/>
      <c r="I191" s="62" t="str">
        <f t="shared" si="10"/>
        <v/>
      </c>
      <c r="J191" s="62" t="str">
        <f t="shared" si="3"/>
        <v/>
      </c>
      <c r="K191" s="68" t="str">
        <f t="shared" si="11"/>
        <v/>
      </c>
      <c r="L191" s="64"/>
      <c r="M191" s="65"/>
      <c r="N191" s="65"/>
      <c r="O191" s="65"/>
      <c r="P191" s="4"/>
      <c r="Q191" s="4"/>
      <c r="R191" s="4"/>
      <c r="S191" s="4"/>
      <c r="T191" s="4"/>
      <c r="U191" s="4"/>
      <c r="V191" s="8">
        <f t="shared" si="12"/>
        <v>998909182.3</v>
      </c>
      <c r="W191" s="5" t="str">
        <f t="shared" si="7"/>
        <v>nops</v>
      </c>
      <c r="X191" s="67"/>
      <c r="Y191" s="4"/>
      <c r="Z191" s="4"/>
      <c r="AA191" s="4"/>
    </row>
    <row r="192" ht="19.5" customHeight="1">
      <c r="A192" s="56" t="s">
        <v>28</v>
      </c>
      <c r="B192" s="57">
        <v>173.0</v>
      </c>
      <c r="C192" s="58">
        <f t="shared" si="8"/>
        <v>1658589808</v>
      </c>
      <c r="D192" s="58">
        <f t="shared" si="9"/>
        <v>177706050.8</v>
      </c>
      <c r="E192" s="59"/>
      <c r="F192" s="60" t="str">
        <f t="shared" si="1"/>
        <v>-</v>
      </c>
      <c r="G192" s="5" t="str">
        <f t="shared" si="2"/>
        <v>nops</v>
      </c>
      <c r="H192" s="83"/>
      <c r="I192" s="62" t="str">
        <f t="shared" si="10"/>
        <v/>
      </c>
      <c r="J192" s="62" t="str">
        <f t="shared" si="3"/>
        <v/>
      </c>
      <c r="K192" s="68" t="str">
        <f t="shared" si="11"/>
        <v/>
      </c>
      <c r="L192" s="64"/>
      <c r="M192" s="65"/>
      <c r="N192" s="65"/>
      <c r="O192" s="65"/>
      <c r="P192" s="4"/>
      <c r="Q192" s="4"/>
      <c r="R192" s="4"/>
      <c r="S192" s="4"/>
      <c r="T192" s="4"/>
      <c r="U192" s="4"/>
      <c r="V192" s="8">
        <f t="shared" si="12"/>
        <v>1118778284</v>
      </c>
      <c r="W192" s="5" t="str">
        <f t="shared" si="7"/>
        <v>nops</v>
      </c>
      <c r="X192" s="67"/>
      <c r="Y192" s="4"/>
      <c r="Z192" s="4"/>
      <c r="AA192" s="4"/>
    </row>
    <row r="193" ht="19.5" customHeight="1">
      <c r="A193" s="56" t="s">
        <v>28</v>
      </c>
      <c r="B193" s="57">
        <v>174.0</v>
      </c>
      <c r="C193" s="58">
        <f t="shared" si="8"/>
        <v>1857620585</v>
      </c>
      <c r="D193" s="58">
        <f t="shared" si="9"/>
        <v>199030776.9</v>
      </c>
      <c r="E193" s="59"/>
      <c r="F193" s="60" t="str">
        <f t="shared" si="1"/>
        <v>-</v>
      </c>
      <c r="G193" s="5" t="str">
        <f t="shared" si="2"/>
        <v>nops</v>
      </c>
      <c r="H193" s="83"/>
      <c r="I193" s="62" t="str">
        <f t="shared" si="10"/>
        <v/>
      </c>
      <c r="J193" s="62" t="str">
        <f t="shared" si="3"/>
        <v/>
      </c>
      <c r="K193" s="68" t="str">
        <f t="shared" si="11"/>
        <v/>
      </c>
      <c r="L193" s="64"/>
      <c r="M193" s="65"/>
      <c r="N193" s="65"/>
      <c r="O193" s="65"/>
      <c r="P193" s="4"/>
      <c r="Q193" s="4"/>
      <c r="R193" s="4"/>
      <c r="S193" s="4"/>
      <c r="T193" s="4"/>
      <c r="U193" s="4"/>
      <c r="V193" s="8">
        <f t="shared" si="12"/>
        <v>1253031678</v>
      </c>
      <c r="W193" s="5" t="str">
        <f t="shared" si="7"/>
        <v>nops</v>
      </c>
      <c r="X193" s="67"/>
      <c r="Y193" s="4"/>
      <c r="Z193" s="4"/>
      <c r="AA193" s="4"/>
    </row>
    <row r="194" ht="19.5" customHeight="1">
      <c r="A194" s="56" t="s">
        <v>28</v>
      </c>
      <c r="B194" s="57">
        <v>175.0</v>
      </c>
      <c r="C194" s="58">
        <f t="shared" si="8"/>
        <v>2080535055</v>
      </c>
      <c r="D194" s="58">
        <f t="shared" si="9"/>
        <v>222914470.2</v>
      </c>
      <c r="E194" s="59"/>
      <c r="F194" s="60" t="str">
        <f t="shared" si="1"/>
        <v>-</v>
      </c>
      <c r="G194" s="5" t="str">
        <f t="shared" si="2"/>
        <v>nops</v>
      </c>
      <c r="H194" s="83"/>
      <c r="I194" s="62" t="str">
        <f t="shared" si="10"/>
        <v/>
      </c>
      <c r="J194" s="62" t="str">
        <f t="shared" si="3"/>
        <v/>
      </c>
      <c r="K194" s="68" t="str">
        <f t="shared" si="11"/>
        <v/>
      </c>
      <c r="L194" s="64"/>
      <c r="M194" s="65"/>
      <c r="N194" s="65"/>
      <c r="O194" s="65"/>
      <c r="P194" s="4"/>
      <c r="Q194" s="4"/>
      <c r="R194" s="4"/>
      <c r="S194" s="4"/>
      <c r="T194" s="4"/>
      <c r="U194" s="4"/>
      <c r="V194" s="8">
        <f t="shared" si="12"/>
        <v>1403395480</v>
      </c>
      <c r="W194" s="5" t="str">
        <f t="shared" si="7"/>
        <v>nops</v>
      </c>
      <c r="X194" s="67"/>
      <c r="Y194" s="4"/>
      <c r="Z194" s="4"/>
      <c r="AA194" s="4"/>
    </row>
    <row r="195" ht="19.5" customHeight="1">
      <c r="A195" s="56" t="s">
        <v>28</v>
      </c>
      <c r="B195" s="57">
        <v>176.0</v>
      </c>
      <c r="C195" s="58">
        <f t="shared" si="8"/>
        <v>2330199261</v>
      </c>
      <c r="D195" s="58">
        <f t="shared" si="9"/>
        <v>249664206.6</v>
      </c>
      <c r="E195" s="59"/>
      <c r="F195" s="60" t="str">
        <f t="shared" si="1"/>
        <v>-</v>
      </c>
      <c r="G195" s="5" t="str">
        <f t="shared" si="2"/>
        <v>nops</v>
      </c>
      <c r="H195" s="83"/>
      <c r="I195" s="62" t="str">
        <f t="shared" si="10"/>
        <v/>
      </c>
      <c r="J195" s="62" t="str">
        <f t="shared" si="3"/>
        <v/>
      </c>
      <c r="K195" s="68" t="str">
        <f t="shared" si="11"/>
        <v/>
      </c>
      <c r="L195" s="64"/>
      <c r="M195" s="65"/>
      <c r="N195" s="65"/>
      <c r="O195" s="65"/>
      <c r="P195" s="4"/>
      <c r="Q195" s="4"/>
      <c r="R195" s="4"/>
      <c r="S195" s="4"/>
      <c r="T195" s="4"/>
      <c r="U195" s="4"/>
      <c r="V195" s="8">
        <f t="shared" si="12"/>
        <v>1571802937</v>
      </c>
      <c r="W195" s="5" t="str">
        <f t="shared" si="7"/>
        <v>nops</v>
      </c>
      <c r="X195" s="67"/>
      <c r="Y195" s="4"/>
      <c r="Z195" s="4"/>
      <c r="AA195" s="4"/>
    </row>
    <row r="196" ht="19.5" customHeight="1">
      <c r="A196" s="56" t="s">
        <v>28</v>
      </c>
      <c r="B196" s="57">
        <v>177.0</v>
      </c>
      <c r="C196" s="58">
        <f t="shared" si="8"/>
        <v>2609823173</v>
      </c>
      <c r="D196" s="58">
        <f t="shared" si="9"/>
        <v>279623911.4</v>
      </c>
      <c r="E196" s="59"/>
      <c r="F196" s="60" t="str">
        <f t="shared" si="1"/>
        <v>-</v>
      </c>
      <c r="G196" s="5" t="str">
        <f t="shared" si="2"/>
        <v>nops</v>
      </c>
      <c r="H196" s="83"/>
      <c r="I196" s="62" t="str">
        <f t="shared" si="10"/>
        <v/>
      </c>
      <c r="J196" s="62" t="str">
        <f t="shared" si="3"/>
        <v/>
      </c>
      <c r="K196" s="68" t="str">
        <f t="shared" si="11"/>
        <v/>
      </c>
      <c r="L196" s="64"/>
      <c r="M196" s="65"/>
      <c r="N196" s="65"/>
      <c r="O196" s="65"/>
      <c r="P196" s="4"/>
      <c r="Q196" s="4"/>
      <c r="R196" s="4"/>
      <c r="S196" s="4"/>
      <c r="T196" s="4"/>
      <c r="U196" s="4"/>
      <c r="V196" s="8">
        <f t="shared" si="12"/>
        <v>1760419290</v>
      </c>
      <c r="W196" s="5" t="str">
        <f t="shared" si="7"/>
        <v>nops</v>
      </c>
      <c r="X196" s="67"/>
      <c r="Y196" s="4"/>
      <c r="Z196" s="4"/>
      <c r="AA196" s="4"/>
    </row>
    <row r="197" ht="19.5" customHeight="1">
      <c r="A197" s="56" t="s">
        <v>28</v>
      </c>
      <c r="B197" s="57">
        <v>178.0</v>
      </c>
      <c r="C197" s="58">
        <f t="shared" si="8"/>
        <v>2923001953</v>
      </c>
      <c r="D197" s="58">
        <f t="shared" si="9"/>
        <v>313178780.7</v>
      </c>
      <c r="E197" s="59"/>
      <c r="F197" s="60" t="str">
        <f t="shared" si="1"/>
        <v>-</v>
      </c>
      <c r="G197" s="5" t="str">
        <f t="shared" si="2"/>
        <v>nops</v>
      </c>
      <c r="H197" s="83"/>
      <c r="I197" s="62" t="str">
        <f t="shared" si="10"/>
        <v/>
      </c>
      <c r="J197" s="62" t="str">
        <f t="shared" si="3"/>
        <v/>
      </c>
      <c r="K197" s="68" t="str">
        <f t="shared" si="11"/>
        <v/>
      </c>
      <c r="L197" s="64"/>
      <c r="M197" s="65"/>
      <c r="N197" s="65"/>
      <c r="O197" s="65"/>
      <c r="P197" s="4"/>
      <c r="Q197" s="4"/>
      <c r="R197" s="4"/>
      <c r="S197" s="4"/>
      <c r="T197" s="4"/>
      <c r="U197" s="4"/>
      <c r="V197" s="8">
        <f t="shared" si="12"/>
        <v>1971669604</v>
      </c>
      <c r="W197" s="5" t="str">
        <f t="shared" si="7"/>
        <v>nops</v>
      </c>
      <c r="X197" s="67"/>
      <c r="Y197" s="4"/>
      <c r="Z197" s="4"/>
      <c r="AA197" s="4"/>
    </row>
    <row r="198" ht="19.5" customHeight="1">
      <c r="A198" s="56" t="s">
        <v>28</v>
      </c>
      <c r="B198" s="57">
        <v>179.0</v>
      </c>
      <c r="C198" s="58">
        <f t="shared" si="8"/>
        <v>3273762188</v>
      </c>
      <c r="D198" s="58">
        <f t="shared" si="9"/>
        <v>350760234.4</v>
      </c>
      <c r="E198" s="59"/>
      <c r="F198" s="60" t="str">
        <f t="shared" si="1"/>
        <v>-</v>
      </c>
      <c r="G198" s="5" t="str">
        <f t="shared" si="2"/>
        <v>nops</v>
      </c>
      <c r="H198" s="83"/>
      <c r="I198" s="62" t="str">
        <f t="shared" si="10"/>
        <v/>
      </c>
      <c r="J198" s="62" t="str">
        <f t="shared" si="3"/>
        <v/>
      </c>
      <c r="K198" s="68" t="str">
        <f t="shared" si="11"/>
        <v/>
      </c>
      <c r="L198" s="64"/>
      <c r="M198" s="64"/>
      <c r="N198" s="64"/>
      <c r="O198" s="64"/>
      <c r="P198" s="4"/>
      <c r="Q198" s="4"/>
      <c r="R198" s="4"/>
      <c r="S198" s="4"/>
      <c r="T198" s="4"/>
      <c r="U198" s="4"/>
      <c r="V198" s="8">
        <f t="shared" si="12"/>
        <v>2208269957</v>
      </c>
      <c r="W198" s="5" t="str">
        <f t="shared" si="7"/>
        <v>nops</v>
      </c>
      <c r="X198" s="67"/>
      <c r="Y198" s="4"/>
      <c r="Z198" s="4"/>
      <c r="AA198" s="4"/>
    </row>
    <row r="199" ht="19.5" customHeight="1">
      <c r="A199" s="56" t="s">
        <v>28</v>
      </c>
      <c r="B199" s="57">
        <v>180.0</v>
      </c>
      <c r="C199" s="58">
        <f t="shared" si="8"/>
        <v>3666613650</v>
      </c>
      <c r="D199" s="58">
        <f t="shared" si="9"/>
        <v>392851462.5</v>
      </c>
      <c r="E199" s="59"/>
      <c r="F199" s="60" t="str">
        <f t="shared" si="1"/>
        <v>-</v>
      </c>
      <c r="G199" s="5" t="str">
        <f t="shared" si="2"/>
        <v>nops</v>
      </c>
      <c r="H199" s="83"/>
      <c r="I199" s="62" t="str">
        <f t="shared" si="10"/>
        <v/>
      </c>
      <c r="J199" s="62" t="str">
        <f t="shared" si="3"/>
        <v/>
      </c>
      <c r="K199" s="68" t="str">
        <f t="shared" si="11"/>
        <v/>
      </c>
      <c r="L199" s="64"/>
      <c r="M199" s="64"/>
      <c r="N199" s="64"/>
      <c r="O199" s="64"/>
      <c r="P199" s="4"/>
      <c r="Q199" s="4"/>
      <c r="R199" s="4"/>
      <c r="S199" s="4"/>
      <c r="T199" s="4"/>
      <c r="U199" s="4"/>
      <c r="V199" s="8">
        <f t="shared" si="12"/>
        <v>2473262352</v>
      </c>
      <c r="W199" s="5" t="str">
        <f t="shared" si="7"/>
        <v>nops</v>
      </c>
      <c r="X199" s="67"/>
      <c r="Y199" s="4"/>
      <c r="Z199" s="4"/>
      <c r="AA199" s="4"/>
    </row>
    <row r="200" ht="19.5" customHeight="1">
      <c r="A200" s="56" t="s">
        <v>28</v>
      </c>
      <c r="B200" s="57">
        <v>181.0</v>
      </c>
      <c r="C200" s="58">
        <f t="shared" si="8"/>
        <v>4106607288</v>
      </c>
      <c r="D200" s="58">
        <f t="shared" si="9"/>
        <v>439993638.1</v>
      </c>
      <c r="E200" s="59"/>
      <c r="F200" s="60" t="str">
        <f t="shared" si="1"/>
        <v>-</v>
      </c>
      <c r="G200" s="5" t="str">
        <f t="shared" si="2"/>
        <v>nops</v>
      </c>
      <c r="H200" s="83"/>
      <c r="I200" s="62" t="str">
        <f t="shared" si="10"/>
        <v/>
      </c>
      <c r="J200" s="62" t="str">
        <f t="shared" si="3"/>
        <v/>
      </c>
      <c r="K200" s="68" t="str">
        <f t="shared" si="11"/>
        <v/>
      </c>
      <c r="L200" s="64"/>
      <c r="M200" s="64"/>
      <c r="N200" s="64"/>
      <c r="O200" s="64"/>
      <c r="P200" s="4"/>
      <c r="Q200" s="4"/>
      <c r="R200" s="4"/>
      <c r="S200" s="4"/>
      <c r="T200" s="4"/>
      <c r="U200" s="4"/>
      <c r="V200" s="8">
        <f t="shared" si="12"/>
        <v>2770053834</v>
      </c>
      <c r="W200" s="5" t="str">
        <f t="shared" si="7"/>
        <v>nops</v>
      </c>
      <c r="X200" s="67"/>
      <c r="Y200" s="4"/>
      <c r="Z200" s="4"/>
      <c r="AA200" s="4"/>
    </row>
    <row r="201" ht="19.5" customHeight="1">
      <c r="A201" s="56" t="s">
        <v>28</v>
      </c>
      <c r="B201" s="57">
        <v>182.0</v>
      </c>
      <c r="C201" s="58">
        <f t="shared" si="8"/>
        <v>4599400163</v>
      </c>
      <c r="D201" s="58">
        <f t="shared" si="9"/>
        <v>492792874.6</v>
      </c>
      <c r="E201" s="59"/>
      <c r="F201" s="60" t="str">
        <f t="shared" si="1"/>
        <v>-</v>
      </c>
      <c r="G201" s="5" t="str">
        <f t="shared" si="2"/>
        <v>nops</v>
      </c>
      <c r="H201" s="83"/>
      <c r="I201" s="62" t="str">
        <f t="shared" si="10"/>
        <v/>
      </c>
      <c r="J201" s="62" t="str">
        <f t="shared" si="3"/>
        <v/>
      </c>
      <c r="K201" s="68" t="str">
        <f t="shared" si="11"/>
        <v/>
      </c>
      <c r="L201" s="64"/>
      <c r="M201" s="64"/>
      <c r="N201" s="64"/>
      <c r="O201" s="64"/>
      <c r="P201" s="4"/>
      <c r="Q201" s="4"/>
      <c r="R201" s="4"/>
      <c r="S201" s="4"/>
      <c r="T201" s="4"/>
      <c r="U201" s="4"/>
      <c r="V201" s="8">
        <f t="shared" si="12"/>
        <v>3102460294</v>
      </c>
      <c r="W201" s="5" t="str">
        <f t="shared" si="7"/>
        <v>nops</v>
      </c>
      <c r="X201" s="67"/>
      <c r="Y201" s="4"/>
      <c r="Z201" s="4"/>
      <c r="AA201" s="4"/>
    </row>
    <row r="202" ht="19.5" customHeight="1">
      <c r="A202" s="56" t="s">
        <v>28</v>
      </c>
      <c r="B202" s="57">
        <v>183.0</v>
      </c>
      <c r="C202" s="58">
        <f t="shared" si="8"/>
        <v>5151328183</v>
      </c>
      <c r="D202" s="58">
        <f t="shared" si="9"/>
        <v>551928019.6</v>
      </c>
      <c r="E202" s="59"/>
      <c r="F202" s="60" t="str">
        <f t="shared" si="1"/>
        <v>-</v>
      </c>
      <c r="G202" s="5" t="str">
        <f t="shared" si="2"/>
        <v>nops</v>
      </c>
      <c r="H202" s="83"/>
      <c r="I202" s="62" t="str">
        <f t="shared" si="10"/>
        <v/>
      </c>
      <c r="J202" s="62" t="str">
        <f t="shared" si="3"/>
        <v/>
      </c>
      <c r="K202" s="68" t="str">
        <f t="shared" si="11"/>
        <v/>
      </c>
      <c r="L202" s="64"/>
      <c r="M202" s="64"/>
      <c r="N202" s="64"/>
      <c r="O202" s="64"/>
      <c r="P202" s="4"/>
      <c r="Q202" s="4"/>
      <c r="R202" s="4"/>
      <c r="S202" s="4"/>
      <c r="T202" s="4"/>
      <c r="U202" s="4"/>
      <c r="V202" s="8">
        <f t="shared" si="12"/>
        <v>3474755529</v>
      </c>
      <c r="W202" s="5" t="str">
        <f t="shared" si="7"/>
        <v>nops</v>
      </c>
      <c r="X202" s="67"/>
      <c r="Y202" s="4"/>
      <c r="Z202" s="4"/>
      <c r="AA202" s="4"/>
    </row>
    <row r="203" ht="19.5" customHeight="1">
      <c r="A203" s="56" t="s">
        <v>28</v>
      </c>
      <c r="B203" s="57">
        <v>184.0</v>
      </c>
      <c r="C203" s="58">
        <f t="shared" si="8"/>
        <v>5769487565</v>
      </c>
      <c r="D203" s="58">
        <f t="shared" si="9"/>
        <v>618159381.9</v>
      </c>
      <c r="E203" s="59"/>
      <c r="F203" s="60" t="str">
        <f t="shared" si="1"/>
        <v>-</v>
      </c>
      <c r="G203" s="5" t="str">
        <f t="shared" si="2"/>
        <v>nops</v>
      </c>
      <c r="H203" s="83"/>
      <c r="I203" s="62" t="str">
        <f t="shared" si="10"/>
        <v/>
      </c>
      <c r="J203" s="62" t="str">
        <f t="shared" si="3"/>
        <v/>
      </c>
      <c r="K203" s="68" t="str">
        <f t="shared" si="11"/>
        <v/>
      </c>
      <c r="L203" s="64"/>
      <c r="M203" s="64"/>
      <c r="N203" s="64"/>
      <c r="O203" s="64"/>
      <c r="P203" s="4"/>
      <c r="Q203" s="4"/>
      <c r="R203" s="4"/>
      <c r="S203" s="4"/>
      <c r="T203" s="4"/>
      <c r="U203" s="4"/>
      <c r="V203" s="8">
        <f t="shared" si="12"/>
        <v>3891726193</v>
      </c>
      <c r="W203" s="5" t="str">
        <f t="shared" si="7"/>
        <v>nops</v>
      </c>
      <c r="X203" s="67"/>
      <c r="Y203" s="4"/>
      <c r="Z203" s="4"/>
      <c r="AA203" s="4"/>
    </row>
    <row r="204" ht="19.5" customHeight="1">
      <c r="A204" s="56" t="s">
        <v>28</v>
      </c>
      <c r="B204" s="57">
        <v>185.0</v>
      </c>
      <c r="C204" s="58">
        <f t="shared" si="8"/>
        <v>6461826072</v>
      </c>
      <c r="D204" s="58">
        <f t="shared" si="9"/>
        <v>692338507.8</v>
      </c>
      <c r="E204" s="59"/>
      <c r="F204" s="60" t="str">
        <f t="shared" si="1"/>
        <v>-</v>
      </c>
      <c r="G204" s="5" t="str">
        <f t="shared" si="2"/>
        <v>nops</v>
      </c>
      <c r="H204" s="83"/>
      <c r="I204" s="62" t="str">
        <f t="shared" si="10"/>
        <v/>
      </c>
      <c r="J204" s="62" t="str">
        <f t="shared" si="3"/>
        <v/>
      </c>
      <c r="K204" s="68" t="str">
        <f t="shared" si="11"/>
        <v/>
      </c>
      <c r="L204" s="64"/>
      <c r="M204" s="64"/>
      <c r="N204" s="64"/>
      <c r="O204" s="64"/>
      <c r="P204" s="4"/>
      <c r="Q204" s="4"/>
      <c r="R204" s="4"/>
      <c r="S204" s="4"/>
      <c r="T204" s="4"/>
      <c r="U204" s="4"/>
      <c r="V204" s="8">
        <f t="shared" si="12"/>
        <v>4358733336</v>
      </c>
      <c r="W204" s="5" t="str">
        <f t="shared" si="7"/>
        <v>nops</v>
      </c>
      <c r="X204" s="67"/>
      <c r="Y204" s="4"/>
      <c r="Z204" s="4"/>
      <c r="AA204" s="4"/>
    </row>
    <row r="205" ht="19.5" customHeight="1">
      <c r="A205" s="56" t="s">
        <v>28</v>
      </c>
      <c r="B205" s="57">
        <v>186.0</v>
      </c>
      <c r="C205" s="58">
        <f t="shared" si="8"/>
        <v>7237245201</v>
      </c>
      <c r="D205" s="58">
        <f t="shared" si="9"/>
        <v>775419128.7</v>
      </c>
      <c r="E205" s="59"/>
      <c r="F205" s="60" t="str">
        <f t="shared" si="1"/>
        <v>-</v>
      </c>
      <c r="G205" s="5" t="str">
        <f t="shared" si="2"/>
        <v>nops</v>
      </c>
      <c r="H205" s="83"/>
      <c r="I205" s="62" t="str">
        <f t="shared" si="10"/>
        <v/>
      </c>
      <c r="J205" s="62" t="str">
        <f t="shared" si="3"/>
        <v/>
      </c>
      <c r="K205" s="68" t="str">
        <f t="shared" si="11"/>
        <v/>
      </c>
      <c r="L205" s="64"/>
      <c r="M205" s="64"/>
      <c r="N205" s="64"/>
      <c r="O205" s="64"/>
      <c r="P205" s="4"/>
      <c r="Q205" s="4"/>
      <c r="R205" s="4"/>
      <c r="S205" s="4"/>
      <c r="T205" s="4"/>
      <c r="U205" s="4"/>
      <c r="V205" s="8">
        <f t="shared" si="12"/>
        <v>4881781337</v>
      </c>
      <c r="W205" s="5" t="str">
        <f t="shared" si="7"/>
        <v>nops</v>
      </c>
      <c r="X205" s="67"/>
      <c r="Y205" s="4"/>
      <c r="Z205" s="4"/>
      <c r="AA205" s="4"/>
    </row>
    <row r="206" ht="19.5" customHeight="1">
      <c r="A206" s="56" t="s">
        <v>28</v>
      </c>
      <c r="B206" s="57">
        <v>187.0</v>
      </c>
      <c r="C206" s="58">
        <f t="shared" si="8"/>
        <v>8105714625</v>
      </c>
      <c r="D206" s="58">
        <f t="shared" si="9"/>
        <v>868469424.1</v>
      </c>
      <c r="E206" s="59"/>
      <c r="F206" s="60" t="str">
        <f t="shared" si="1"/>
        <v>-</v>
      </c>
      <c r="G206" s="5" t="str">
        <f t="shared" si="2"/>
        <v>nops</v>
      </c>
      <c r="H206" s="83"/>
      <c r="I206" s="62" t="str">
        <f t="shared" si="10"/>
        <v/>
      </c>
      <c r="J206" s="62" t="str">
        <f t="shared" si="3"/>
        <v/>
      </c>
      <c r="K206" s="68" t="str">
        <f t="shared" si="11"/>
        <v/>
      </c>
      <c r="L206" s="64"/>
      <c r="M206" s="64"/>
      <c r="N206" s="64"/>
      <c r="O206" s="64"/>
      <c r="P206" s="4"/>
      <c r="Q206" s="4"/>
      <c r="R206" s="4"/>
      <c r="S206" s="4"/>
      <c r="T206" s="4"/>
      <c r="U206" s="4"/>
      <c r="V206" s="8">
        <f t="shared" si="12"/>
        <v>5467595097</v>
      </c>
      <c r="W206" s="5" t="str">
        <f t="shared" si="7"/>
        <v>nops</v>
      </c>
      <c r="X206" s="67"/>
      <c r="Y206" s="4"/>
      <c r="Z206" s="4"/>
      <c r="AA206" s="4"/>
    </row>
    <row r="207" ht="19.5" customHeight="1">
      <c r="A207" s="56" t="s">
        <v>28</v>
      </c>
      <c r="B207" s="57">
        <v>188.0</v>
      </c>
      <c r="C207" s="58">
        <f t="shared" si="8"/>
        <v>9078400380</v>
      </c>
      <c r="D207" s="58">
        <f t="shared" si="9"/>
        <v>972685755</v>
      </c>
      <c r="E207" s="59"/>
      <c r="F207" s="60" t="str">
        <f t="shared" si="1"/>
        <v>-</v>
      </c>
      <c r="G207" s="5" t="str">
        <f t="shared" si="2"/>
        <v>nops</v>
      </c>
      <c r="H207" s="83"/>
      <c r="I207" s="62" t="str">
        <f t="shared" si="10"/>
        <v/>
      </c>
      <c r="J207" s="62" t="str">
        <f t="shared" si="3"/>
        <v/>
      </c>
      <c r="K207" s="68" t="str">
        <f t="shared" si="11"/>
        <v/>
      </c>
      <c r="L207" s="64"/>
      <c r="M207" s="64"/>
      <c r="N207" s="64"/>
      <c r="O207" s="64"/>
      <c r="P207" s="4"/>
      <c r="Q207" s="4"/>
      <c r="R207" s="4"/>
      <c r="S207" s="4"/>
      <c r="T207" s="4"/>
      <c r="U207" s="4"/>
      <c r="V207" s="8">
        <f t="shared" si="12"/>
        <v>6123706509</v>
      </c>
      <c r="W207" s="5" t="str">
        <f t="shared" si="7"/>
        <v>nops</v>
      </c>
      <c r="X207" s="67"/>
      <c r="Y207" s="4"/>
      <c r="Z207" s="4"/>
      <c r="AA207" s="4"/>
    </row>
    <row r="208" ht="19.5" customHeight="1">
      <c r="A208" s="56" t="s">
        <v>28</v>
      </c>
      <c r="B208" s="57">
        <v>189.0</v>
      </c>
      <c r="C208" s="58">
        <f t="shared" si="8"/>
        <v>10167808426</v>
      </c>
      <c r="D208" s="58">
        <f t="shared" si="9"/>
        <v>1089408046</v>
      </c>
      <c r="E208" s="59"/>
      <c r="F208" s="60" t="str">
        <f t="shared" si="1"/>
        <v>-</v>
      </c>
      <c r="G208" s="5" t="str">
        <f t="shared" si="2"/>
        <v>nops</v>
      </c>
      <c r="H208" s="83"/>
      <c r="I208" s="62" t="str">
        <f t="shared" si="10"/>
        <v/>
      </c>
      <c r="J208" s="62" t="str">
        <f t="shared" si="3"/>
        <v/>
      </c>
      <c r="K208" s="68" t="str">
        <f t="shared" si="11"/>
        <v/>
      </c>
      <c r="L208" s="64"/>
      <c r="M208" s="64"/>
      <c r="N208" s="64"/>
      <c r="O208" s="64"/>
      <c r="P208" s="4"/>
      <c r="Q208" s="4"/>
      <c r="R208" s="4"/>
      <c r="S208" s="4"/>
      <c r="T208" s="4"/>
      <c r="U208" s="4"/>
      <c r="V208" s="8">
        <f t="shared" si="12"/>
        <v>6858551290</v>
      </c>
      <c r="W208" s="5" t="str">
        <f t="shared" si="7"/>
        <v>nops</v>
      </c>
      <c r="X208" s="67"/>
      <c r="Y208" s="4"/>
      <c r="Z208" s="4"/>
      <c r="AA208" s="4"/>
    </row>
    <row r="209" ht="19.5" customHeight="1">
      <c r="A209" s="56" t="s">
        <v>28</v>
      </c>
      <c r="B209" s="57">
        <v>190.0</v>
      </c>
      <c r="C209" s="58">
        <f t="shared" si="8"/>
        <v>11387945437</v>
      </c>
      <c r="D209" s="58">
        <f t="shared" si="9"/>
        <v>1220137011</v>
      </c>
      <c r="E209" s="59"/>
      <c r="F209" s="60" t="str">
        <f t="shared" si="1"/>
        <v>-</v>
      </c>
      <c r="G209" s="5" t="str">
        <f t="shared" si="2"/>
        <v>nops</v>
      </c>
      <c r="H209" s="83"/>
      <c r="I209" s="62" t="str">
        <f t="shared" si="10"/>
        <v/>
      </c>
      <c r="J209" s="62" t="str">
        <f t="shared" si="3"/>
        <v/>
      </c>
      <c r="K209" s="68" t="str">
        <f t="shared" si="11"/>
        <v/>
      </c>
      <c r="L209" s="64"/>
      <c r="M209" s="64"/>
      <c r="N209" s="64"/>
      <c r="O209" s="64"/>
      <c r="P209" s="4"/>
      <c r="Q209" s="4"/>
      <c r="R209" s="4"/>
      <c r="S209" s="4"/>
      <c r="T209" s="4"/>
      <c r="U209" s="4"/>
      <c r="V209" s="8">
        <f t="shared" si="12"/>
        <v>7681577444</v>
      </c>
      <c r="W209" s="5" t="str">
        <f t="shared" si="7"/>
        <v>nops</v>
      </c>
      <c r="X209" s="67"/>
      <c r="Y209" s="4"/>
      <c r="Z209" s="4"/>
      <c r="AA209" s="4"/>
    </row>
    <row r="210" ht="19.5" customHeight="1">
      <c r="A210" s="56" t="s">
        <v>28</v>
      </c>
      <c r="B210" s="57">
        <v>191.0</v>
      </c>
      <c r="C210" s="58">
        <f t="shared" si="8"/>
        <v>12754498889</v>
      </c>
      <c r="D210" s="58">
        <f t="shared" si="9"/>
        <v>1366553452</v>
      </c>
      <c r="E210" s="59"/>
      <c r="F210" s="60" t="str">
        <f t="shared" si="1"/>
        <v>-</v>
      </c>
      <c r="G210" s="5" t="str">
        <f t="shared" si="2"/>
        <v>nops</v>
      </c>
      <c r="H210" s="83"/>
      <c r="I210" s="62" t="str">
        <f t="shared" si="10"/>
        <v/>
      </c>
      <c r="J210" s="62" t="str">
        <f t="shared" si="3"/>
        <v/>
      </c>
      <c r="K210" s="68" t="str">
        <f t="shared" si="11"/>
        <v/>
      </c>
      <c r="L210" s="64"/>
      <c r="M210" s="64"/>
      <c r="N210" s="64"/>
      <c r="O210" s="64"/>
      <c r="P210" s="4"/>
      <c r="Q210" s="4"/>
      <c r="R210" s="4"/>
      <c r="S210" s="4"/>
      <c r="T210" s="4"/>
      <c r="U210" s="4"/>
      <c r="V210" s="8">
        <f t="shared" si="12"/>
        <v>8603366738</v>
      </c>
      <c r="W210" s="5" t="str">
        <f t="shared" si="7"/>
        <v>nops</v>
      </c>
      <c r="X210" s="67"/>
      <c r="Y210" s="4"/>
      <c r="Z210" s="4"/>
      <c r="AA210" s="4"/>
    </row>
    <row r="211" ht="19.5" customHeight="1">
      <c r="A211" s="56" t="s">
        <v>28</v>
      </c>
      <c r="B211" s="57">
        <v>192.0</v>
      </c>
      <c r="C211" s="58">
        <f t="shared" si="8"/>
        <v>14285038756</v>
      </c>
      <c r="D211" s="58">
        <f t="shared" si="9"/>
        <v>1530539867</v>
      </c>
      <c r="E211" s="59"/>
      <c r="F211" s="60" t="str">
        <f t="shared" si="1"/>
        <v>-</v>
      </c>
      <c r="G211" s="5" t="str">
        <f t="shared" si="2"/>
        <v>nops</v>
      </c>
      <c r="H211" s="83"/>
      <c r="I211" s="62" t="str">
        <f t="shared" si="10"/>
        <v/>
      </c>
      <c r="J211" s="62" t="str">
        <f t="shared" si="3"/>
        <v/>
      </c>
      <c r="K211" s="68" t="str">
        <f t="shared" si="11"/>
        <v/>
      </c>
      <c r="L211" s="64"/>
      <c r="M211" s="64"/>
      <c r="N211" s="64"/>
      <c r="O211" s="64"/>
      <c r="P211" s="4"/>
      <c r="Q211" s="4"/>
      <c r="R211" s="4"/>
      <c r="S211" s="4"/>
      <c r="T211" s="4"/>
      <c r="U211" s="4"/>
      <c r="V211" s="8">
        <f t="shared" si="12"/>
        <v>9635770746</v>
      </c>
      <c r="W211" s="5" t="str">
        <f t="shared" si="7"/>
        <v>nops</v>
      </c>
      <c r="X211" s="67"/>
      <c r="Y211" s="4"/>
      <c r="Z211" s="4"/>
      <c r="AA211" s="4"/>
    </row>
    <row r="212" ht="19.5" customHeight="1">
      <c r="A212" s="56" t="s">
        <v>28</v>
      </c>
      <c r="B212" s="57">
        <v>193.0</v>
      </c>
      <c r="C212" s="58">
        <f t="shared" si="8"/>
        <v>15999243407</v>
      </c>
      <c r="D212" s="58">
        <f t="shared" si="9"/>
        <v>1714204651</v>
      </c>
      <c r="E212" s="59"/>
      <c r="F212" s="60" t="str">
        <f t="shared" si="1"/>
        <v>-</v>
      </c>
      <c r="G212" s="5" t="str">
        <f t="shared" si="2"/>
        <v>nops</v>
      </c>
      <c r="H212" s="83"/>
      <c r="I212" s="62" t="str">
        <f t="shared" si="10"/>
        <v/>
      </c>
      <c r="J212" s="62" t="str">
        <f t="shared" si="3"/>
        <v/>
      </c>
      <c r="K212" s="68" t="str">
        <f t="shared" si="11"/>
        <v/>
      </c>
      <c r="L212" s="64"/>
      <c r="M212" s="64"/>
      <c r="N212" s="64"/>
      <c r="O212" s="64"/>
      <c r="P212" s="4"/>
      <c r="Q212" s="4"/>
      <c r="R212" s="4"/>
      <c r="S212" s="4"/>
      <c r="T212" s="4"/>
      <c r="U212" s="4"/>
      <c r="V212" s="8">
        <f t="shared" si="12"/>
        <v>10792063236</v>
      </c>
      <c r="W212" s="5" t="str">
        <f t="shared" si="7"/>
        <v>nops</v>
      </c>
      <c r="X212" s="67"/>
      <c r="Y212" s="4"/>
      <c r="Z212" s="4"/>
      <c r="AA212" s="4"/>
    </row>
    <row r="213" ht="19.5" customHeight="1">
      <c r="A213" s="56" t="s">
        <v>28</v>
      </c>
      <c r="B213" s="57">
        <v>194.0</v>
      </c>
      <c r="C213" s="58">
        <f t="shared" si="8"/>
        <v>17919152616</v>
      </c>
      <c r="D213" s="58">
        <f t="shared" si="9"/>
        <v>1919909209</v>
      </c>
      <c r="E213" s="59"/>
      <c r="F213" s="60" t="str">
        <f t="shared" si="1"/>
        <v>-</v>
      </c>
      <c r="G213" s="5" t="str">
        <f t="shared" si="2"/>
        <v>nops</v>
      </c>
      <c r="H213" s="83"/>
      <c r="I213" s="62" t="str">
        <f t="shared" si="10"/>
        <v/>
      </c>
      <c r="J213" s="62" t="str">
        <f t="shared" si="3"/>
        <v/>
      </c>
      <c r="K213" s="68" t="str">
        <f t="shared" si="11"/>
        <v/>
      </c>
      <c r="L213" s="64"/>
      <c r="M213" s="64"/>
      <c r="N213" s="64"/>
      <c r="O213" s="64"/>
      <c r="P213" s="4"/>
      <c r="Q213" s="4"/>
      <c r="R213" s="4"/>
      <c r="S213" s="4"/>
      <c r="T213" s="4"/>
      <c r="U213" s="4"/>
      <c r="V213" s="8">
        <f t="shared" si="12"/>
        <v>12087110824</v>
      </c>
      <c r="W213" s="5" t="str">
        <f t="shared" si="7"/>
        <v>nops</v>
      </c>
      <c r="X213" s="67"/>
      <c r="Y213" s="4"/>
      <c r="Z213" s="4"/>
      <c r="AA213" s="4"/>
    </row>
    <row r="214" ht="19.5" customHeight="1">
      <c r="A214" s="56" t="s">
        <v>28</v>
      </c>
      <c r="B214" s="57">
        <v>195.0</v>
      </c>
      <c r="C214" s="58">
        <f t="shared" si="8"/>
        <v>20069450929</v>
      </c>
      <c r="D214" s="58">
        <f t="shared" si="9"/>
        <v>2150298314</v>
      </c>
      <c r="E214" s="59"/>
      <c r="F214" s="60" t="str">
        <f t="shared" si="1"/>
        <v>-</v>
      </c>
      <c r="G214" s="5" t="str">
        <f t="shared" si="2"/>
        <v>nops</v>
      </c>
      <c r="H214" s="83"/>
      <c r="I214" s="62" t="str">
        <f t="shared" si="10"/>
        <v/>
      </c>
      <c r="J214" s="62" t="str">
        <f t="shared" si="3"/>
        <v/>
      </c>
      <c r="K214" s="68" t="str">
        <f t="shared" si="11"/>
        <v/>
      </c>
      <c r="L214" s="64"/>
      <c r="M214" s="64"/>
      <c r="N214" s="64"/>
      <c r="O214" s="64"/>
      <c r="P214" s="4"/>
      <c r="Q214" s="4"/>
      <c r="R214" s="4"/>
      <c r="S214" s="4"/>
      <c r="T214" s="4"/>
      <c r="U214" s="4"/>
      <c r="V214" s="8">
        <f t="shared" si="12"/>
        <v>13537564123</v>
      </c>
      <c r="W214" s="5" t="str">
        <f t="shared" si="7"/>
        <v>nops</v>
      </c>
      <c r="X214" s="67"/>
      <c r="Y214" s="4"/>
      <c r="Z214" s="4"/>
      <c r="AA214" s="4"/>
    </row>
    <row r="215" ht="19.5" customHeight="1">
      <c r="A215" s="56" t="s">
        <v>28</v>
      </c>
      <c r="B215" s="57">
        <v>196.0</v>
      </c>
      <c r="C215" s="58">
        <f t="shared" si="8"/>
        <v>22477785041</v>
      </c>
      <c r="D215" s="58">
        <f t="shared" si="9"/>
        <v>2408334112</v>
      </c>
      <c r="E215" s="59"/>
      <c r="F215" s="60" t="str">
        <f t="shared" si="1"/>
        <v>-</v>
      </c>
      <c r="G215" s="5" t="str">
        <f t="shared" si="2"/>
        <v>nops</v>
      </c>
      <c r="H215" s="83"/>
      <c r="I215" s="62" t="str">
        <f t="shared" si="10"/>
        <v/>
      </c>
      <c r="J215" s="62" t="str">
        <f t="shared" si="3"/>
        <v/>
      </c>
      <c r="K215" s="68" t="str">
        <f t="shared" si="11"/>
        <v/>
      </c>
      <c r="L215" s="64"/>
      <c r="M215" s="64"/>
      <c r="N215" s="64"/>
      <c r="O215" s="64"/>
      <c r="P215" s="4"/>
      <c r="Q215" s="4"/>
      <c r="R215" s="4"/>
      <c r="S215" s="4"/>
      <c r="T215" s="4"/>
      <c r="U215" s="4"/>
      <c r="V215" s="8">
        <f t="shared" si="12"/>
        <v>15162071818</v>
      </c>
      <c r="W215" s="5" t="str">
        <f t="shared" si="7"/>
        <v>nops</v>
      </c>
      <c r="X215" s="67"/>
      <c r="Y215" s="4"/>
      <c r="Z215" s="4"/>
      <c r="AA215" s="4"/>
    </row>
    <row r="216" ht="19.5" customHeight="1">
      <c r="A216" s="56" t="s">
        <v>28</v>
      </c>
      <c r="B216" s="57">
        <v>197.0</v>
      </c>
      <c r="C216" s="58">
        <f t="shared" si="8"/>
        <v>25175119246</v>
      </c>
      <c r="D216" s="58">
        <f t="shared" si="9"/>
        <v>2697334205</v>
      </c>
      <c r="E216" s="59"/>
      <c r="F216" s="60" t="str">
        <f t="shared" si="1"/>
        <v>-</v>
      </c>
      <c r="G216" s="5" t="str">
        <f t="shared" si="2"/>
        <v>nops</v>
      </c>
      <c r="H216" s="83"/>
      <c r="I216" s="62" t="str">
        <f t="shared" si="10"/>
        <v/>
      </c>
      <c r="J216" s="62" t="str">
        <f t="shared" si="3"/>
        <v/>
      </c>
      <c r="K216" s="68" t="str">
        <f t="shared" si="11"/>
        <v/>
      </c>
      <c r="L216" s="64"/>
      <c r="M216" s="64"/>
      <c r="N216" s="64"/>
      <c r="O216" s="64"/>
      <c r="P216" s="4"/>
      <c r="Q216" s="4"/>
      <c r="R216" s="4"/>
      <c r="S216" s="4"/>
      <c r="T216" s="4"/>
      <c r="U216" s="4"/>
      <c r="V216" s="8">
        <f t="shared" si="12"/>
        <v>16981520436</v>
      </c>
      <c r="W216" s="5" t="str">
        <f t="shared" si="7"/>
        <v>nops</v>
      </c>
      <c r="X216" s="67"/>
      <c r="Y216" s="4"/>
      <c r="Z216" s="4"/>
      <c r="AA216" s="4"/>
    </row>
    <row r="217" ht="19.5" customHeight="1">
      <c r="A217" s="56" t="s">
        <v>28</v>
      </c>
      <c r="B217" s="57">
        <v>198.0</v>
      </c>
      <c r="C217" s="58">
        <f t="shared" si="8"/>
        <v>28196133555</v>
      </c>
      <c r="D217" s="58">
        <f t="shared" si="9"/>
        <v>3021014310</v>
      </c>
      <c r="E217" s="59"/>
      <c r="F217" s="60" t="str">
        <f t="shared" si="1"/>
        <v>-</v>
      </c>
      <c r="G217" s="5" t="str">
        <f t="shared" si="2"/>
        <v>nops</v>
      </c>
      <c r="H217" s="83"/>
      <c r="I217" s="62" t="str">
        <f t="shared" si="10"/>
        <v/>
      </c>
      <c r="J217" s="62" t="str">
        <f t="shared" si="3"/>
        <v/>
      </c>
      <c r="K217" s="68" t="str">
        <f t="shared" si="11"/>
        <v/>
      </c>
      <c r="L217" s="64"/>
      <c r="M217" s="64"/>
      <c r="N217" s="64"/>
      <c r="O217" s="64"/>
      <c r="P217" s="4"/>
      <c r="Q217" s="4"/>
      <c r="R217" s="4"/>
      <c r="S217" s="4"/>
      <c r="T217" s="4"/>
      <c r="U217" s="4"/>
      <c r="V217" s="8">
        <f t="shared" si="12"/>
        <v>19019302888</v>
      </c>
      <c r="W217" s="5" t="str">
        <f t="shared" si="7"/>
        <v>nops</v>
      </c>
      <c r="X217" s="67"/>
      <c r="Y217" s="4"/>
      <c r="Z217" s="4"/>
      <c r="AA217" s="4"/>
    </row>
    <row r="218" ht="19.5" customHeight="1">
      <c r="A218" s="56" t="s">
        <v>28</v>
      </c>
      <c r="B218" s="57">
        <v>199.0</v>
      </c>
      <c r="C218" s="58">
        <f t="shared" si="8"/>
        <v>31579669582</v>
      </c>
      <c r="D218" s="58">
        <f t="shared" si="9"/>
        <v>3383536027</v>
      </c>
      <c r="E218" s="59"/>
      <c r="F218" s="60" t="str">
        <f t="shared" si="1"/>
        <v>-</v>
      </c>
      <c r="G218" s="5" t="str">
        <f t="shared" si="2"/>
        <v>nops</v>
      </c>
      <c r="H218" s="83"/>
      <c r="I218" s="62" t="str">
        <f t="shared" si="10"/>
        <v/>
      </c>
      <c r="J218" s="62" t="str">
        <f t="shared" si="3"/>
        <v/>
      </c>
      <c r="K218" s="68" t="str">
        <f t="shared" si="11"/>
        <v/>
      </c>
      <c r="L218" s="64"/>
      <c r="M218" s="64"/>
      <c r="N218" s="64"/>
      <c r="O218" s="64"/>
      <c r="P218" s="4"/>
      <c r="Q218" s="4"/>
      <c r="R218" s="4"/>
      <c r="S218" s="4"/>
      <c r="T218" s="4"/>
      <c r="U218" s="4"/>
      <c r="V218" s="8">
        <f t="shared" si="12"/>
        <v>21301619234</v>
      </c>
      <c r="W218" s="5" t="str">
        <f t="shared" si="7"/>
        <v>nops</v>
      </c>
      <c r="X218" s="67"/>
      <c r="Y218" s="4"/>
      <c r="Z218" s="4"/>
      <c r="AA218" s="4"/>
    </row>
    <row r="219" ht="19.5" customHeight="1">
      <c r="A219" s="56" t="s">
        <v>28</v>
      </c>
      <c r="B219" s="57">
        <v>200.0</v>
      </c>
      <c r="C219" s="58">
        <f t="shared" si="8"/>
        <v>35369229932</v>
      </c>
      <c r="D219" s="58">
        <f t="shared" si="9"/>
        <v>3789560350</v>
      </c>
      <c r="E219" s="59"/>
      <c r="F219" s="60" t="str">
        <f t="shared" si="1"/>
        <v>-</v>
      </c>
      <c r="G219" s="5" t="str">
        <f t="shared" si="2"/>
        <v>nops</v>
      </c>
      <c r="H219" s="83"/>
      <c r="I219" s="62" t="str">
        <f t="shared" si="10"/>
        <v/>
      </c>
      <c r="J219" s="62" t="str">
        <f t="shared" si="3"/>
        <v/>
      </c>
      <c r="K219" s="68" t="str">
        <f t="shared" si="11"/>
        <v/>
      </c>
      <c r="L219" s="64"/>
      <c r="M219" s="64"/>
      <c r="N219" s="64"/>
      <c r="O219" s="64"/>
      <c r="P219" s="4"/>
      <c r="Q219" s="4"/>
      <c r="R219" s="4"/>
      <c r="S219" s="4"/>
      <c r="T219" s="4"/>
      <c r="U219" s="4"/>
      <c r="V219" s="8">
        <f t="shared" si="12"/>
        <v>23857813543</v>
      </c>
      <c r="W219" s="5" t="str">
        <f t="shared" si="7"/>
        <v>nops</v>
      </c>
      <c r="X219" s="67"/>
      <c r="Y219" s="4"/>
      <c r="Z219" s="4"/>
      <c r="AA219" s="4"/>
    </row>
    <row r="220" ht="19.5" customHeight="1">
      <c r="A220" s="56" t="s">
        <v>28</v>
      </c>
      <c r="B220" s="57">
        <v>201.0</v>
      </c>
      <c r="C220" s="58">
        <f t="shared" si="8"/>
        <v>39613537524</v>
      </c>
      <c r="D220" s="58">
        <f t="shared" si="9"/>
        <v>4244307592</v>
      </c>
      <c r="E220" s="59"/>
      <c r="F220" s="60" t="str">
        <f t="shared" si="1"/>
        <v>-</v>
      </c>
      <c r="G220" s="5" t="str">
        <f t="shared" si="2"/>
        <v>nops</v>
      </c>
      <c r="H220" s="83"/>
      <c r="I220" s="62" t="str">
        <f t="shared" si="10"/>
        <v/>
      </c>
      <c r="J220" s="62" t="str">
        <f t="shared" si="3"/>
        <v/>
      </c>
      <c r="K220" s="68" t="str">
        <f t="shared" si="11"/>
        <v/>
      </c>
      <c r="L220" s="64"/>
      <c r="M220" s="64"/>
      <c r="N220" s="64"/>
      <c r="O220" s="64"/>
      <c r="P220" s="4"/>
      <c r="Q220" s="4"/>
      <c r="R220" s="4"/>
      <c r="S220" s="4"/>
      <c r="T220" s="4"/>
      <c r="U220" s="4"/>
      <c r="V220" s="8">
        <f t="shared" si="12"/>
        <v>26720751168</v>
      </c>
      <c r="W220" s="5" t="str">
        <f t="shared" si="7"/>
        <v>nops</v>
      </c>
      <c r="X220" s="67"/>
      <c r="Y220" s="4"/>
      <c r="Z220" s="4"/>
      <c r="AA220" s="4"/>
    </row>
    <row r="221" ht="19.5" customHeight="1">
      <c r="A221" s="56" t="s">
        <v>28</v>
      </c>
      <c r="B221" s="57">
        <v>202.0</v>
      </c>
      <c r="C221" s="58">
        <f t="shared" si="8"/>
        <v>44367162027</v>
      </c>
      <c r="D221" s="58">
        <f t="shared" si="9"/>
        <v>4753624503</v>
      </c>
      <c r="E221" s="59"/>
      <c r="F221" s="60" t="str">
        <f t="shared" si="1"/>
        <v>-</v>
      </c>
      <c r="G221" s="5" t="str">
        <f t="shared" si="2"/>
        <v>nops</v>
      </c>
      <c r="H221" s="83"/>
      <c r="I221" s="62" t="str">
        <f t="shared" si="10"/>
        <v/>
      </c>
      <c r="J221" s="62" t="str">
        <f t="shared" si="3"/>
        <v/>
      </c>
      <c r="K221" s="68" t="str">
        <f t="shared" si="11"/>
        <v/>
      </c>
      <c r="L221" s="64"/>
      <c r="M221" s="64"/>
      <c r="N221" s="64"/>
      <c r="O221" s="64"/>
      <c r="P221" s="4"/>
      <c r="Q221" s="4"/>
      <c r="R221" s="4"/>
      <c r="S221" s="4"/>
      <c r="T221" s="4"/>
      <c r="U221" s="4"/>
      <c r="V221" s="8">
        <f t="shared" si="12"/>
        <v>29927241308</v>
      </c>
      <c r="W221" s="5" t="str">
        <f t="shared" si="7"/>
        <v>nops</v>
      </c>
      <c r="X221" s="67"/>
      <c r="Y221" s="4"/>
      <c r="Z221" s="4"/>
      <c r="AA221" s="4"/>
    </row>
    <row r="222" ht="19.5" customHeight="1">
      <c r="A222" s="56" t="s">
        <v>28</v>
      </c>
      <c r="B222" s="57">
        <v>203.0</v>
      </c>
      <c r="C222" s="58">
        <f t="shared" si="8"/>
        <v>49691221470</v>
      </c>
      <c r="D222" s="58">
        <f t="shared" si="9"/>
        <v>5324059443</v>
      </c>
      <c r="E222" s="59"/>
      <c r="F222" s="60" t="str">
        <f t="shared" si="1"/>
        <v>-</v>
      </c>
      <c r="G222" s="5" t="str">
        <f t="shared" si="2"/>
        <v>nops</v>
      </c>
      <c r="H222" s="83"/>
      <c r="I222" s="62" t="str">
        <f t="shared" si="10"/>
        <v/>
      </c>
      <c r="J222" s="62" t="str">
        <f t="shared" si="3"/>
        <v/>
      </c>
      <c r="K222" s="68" t="str">
        <f t="shared" si="11"/>
        <v/>
      </c>
      <c r="L222" s="64"/>
      <c r="M222" s="64"/>
      <c r="N222" s="64"/>
      <c r="O222" s="64"/>
      <c r="P222" s="4"/>
      <c r="Q222" s="4"/>
      <c r="R222" s="4"/>
      <c r="S222" s="4"/>
      <c r="T222" s="4"/>
      <c r="U222" s="4"/>
      <c r="V222" s="8">
        <f t="shared" si="12"/>
        <v>33518510265</v>
      </c>
      <c r="W222" s="5" t="str">
        <f t="shared" si="7"/>
        <v>nops</v>
      </c>
      <c r="X222" s="67"/>
      <c r="Y222" s="4"/>
      <c r="Z222" s="4"/>
      <c r="AA222" s="4"/>
    </row>
    <row r="223" ht="19.5" customHeight="1">
      <c r="A223" s="56" t="s">
        <v>28</v>
      </c>
      <c r="B223" s="57">
        <v>204.0</v>
      </c>
      <c r="C223" s="58">
        <f t="shared" si="8"/>
        <v>55654168046</v>
      </c>
      <c r="D223" s="58">
        <f t="shared" si="9"/>
        <v>5962946576</v>
      </c>
      <c r="E223" s="59"/>
      <c r="F223" s="60" t="str">
        <f t="shared" si="1"/>
        <v>-</v>
      </c>
      <c r="G223" s="5" t="str">
        <f t="shared" si="2"/>
        <v>nops</v>
      </c>
      <c r="H223" s="83"/>
      <c r="I223" s="62" t="str">
        <f t="shared" si="10"/>
        <v/>
      </c>
      <c r="J223" s="62" t="str">
        <f t="shared" si="3"/>
        <v/>
      </c>
      <c r="K223" s="68" t="str">
        <f t="shared" si="11"/>
        <v/>
      </c>
      <c r="L223" s="64"/>
      <c r="M223" s="64"/>
      <c r="N223" s="64"/>
      <c r="O223" s="64"/>
      <c r="P223" s="4"/>
      <c r="Q223" s="4"/>
      <c r="R223" s="4"/>
      <c r="S223" s="4"/>
      <c r="T223" s="4"/>
      <c r="U223" s="4"/>
      <c r="V223" s="8">
        <f t="shared" si="12"/>
        <v>37540731496</v>
      </c>
      <c r="W223" s="5" t="str">
        <f t="shared" si="7"/>
        <v>nops</v>
      </c>
      <c r="X223" s="67"/>
      <c r="Y223" s="4"/>
      <c r="Z223" s="4"/>
      <c r="AA223" s="4"/>
    </row>
    <row r="224" ht="19.5" customHeight="1">
      <c r="A224" s="56" t="s">
        <v>28</v>
      </c>
      <c r="B224" s="57">
        <v>205.0</v>
      </c>
      <c r="C224" s="58">
        <f t="shared" si="8"/>
        <v>62332668212</v>
      </c>
      <c r="D224" s="58">
        <f t="shared" si="9"/>
        <v>6678500166</v>
      </c>
      <c r="E224" s="59"/>
      <c r="F224" s="60" t="str">
        <f t="shared" si="1"/>
        <v>-</v>
      </c>
      <c r="G224" s="5" t="str">
        <f t="shared" si="2"/>
        <v>nops</v>
      </c>
      <c r="H224" s="83"/>
      <c r="I224" s="62" t="str">
        <f t="shared" si="10"/>
        <v/>
      </c>
      <c r="J224" s="62" t="str">
        <f t="shared" si="3"/>
        <v/>
      </c>
      <c r="K224" s="68" t="str">
        <f t="shared" si="11"/>
        <v/>
      </c>
      <c r="L224" s="64"/>
      <c r="M224" s="64"/>
      <c r="N224" s="64"/>
      <c r="O224" s="64"/>
      <c r="P224" s="4"/>
      <c r="Q224" s="4"/>
      <c r="R224" s="4"/>
      <c r="S224" s="4"/>
      <c r="T224" s="4"/>
      <c r="U224" s="4"/>
      <c r="V224" s="8">
        <f t="shared" si="12"/>
        <v>42045619276</v>
      </c>
      <c r="W224" s="5" t="str">
        <f t="shared" si="7"/>
        <v>nops</v>
      </c>
      <c r="X224" s="67"/>
      <c r="Y224" s="4"/>
      <c r="Z224" s="4"/>
      <c r="AA224" s="4"/>
    </row>
    <row r="225" ht="19.5" customHeight="1">
      <c r="A225" s="56" t="s">
        <v>28</v>
      </c>
      <c r="B225" s="57">
        <v>206.0</v>
      </c>
      <c r="C225" s="58">
        <f t="shared" si="8"/>
        <v>69812588397</v>
      </c>
      <c r="D225" s="58">
        <f t="shared" si="9"/>
        <v>7479920185</v>
      </c>
      <c r="E225" s="59"/>
      <c r="F225" s="60" t="str">
        <f t="shared" si="1"/>
        <v>-</v>
      </c>
      <c r="G225" s="5" t="str">
        <f t="shared" si="2"/>
        <v>nops</v>
      </c>
      <c r="H225" s="83"/>
      <c r="I225" s="62" t="str">
        <f t="shared" si="10"/>
        <v/>
      </c>
      <c r="J225" s="62" t="str">
        <f t="shared" si="3"/>
        <v/>
      </c>
      <c r="K225" s="68" t="str">
        <f t="shared" si="11"/>
        <v/>
      </c>
      <c r="L225" s="64"/>
      <c r="M225" s="64"/>
      <c r="N225" s="64"/>
      <c r="O225" s="64"/>
      <c r="P225" s="4"/>
      <c r="Q225" s="4"/>
      <c r="R225" s="4"/>
      <c r="S225" s="4"/>
      <c r="T225" s="4"/>
      <c r="U225" s="4"/>
      <c r="V225" s="8">
        <f t="shared" si="12"/>
        <v>47091093589</v>
      </c>
      <c r="W225" s="5" t="str">
        <f t="shared" si="7"/>
        <v>nops</v>
      </c>
      <c r="X225" s="67"/>
      <c r="Y225" s="4"/>
      <c r="Z225" s="4"/>
      <c r="AA225" s="4"/>
    </row>
    <row r="226" ht="19.5" customHeight="1">
      <c r="A226" s="56" t="s">
        <v>28</v>
      </c>
      <c r="B226" s="57">
        <v>207.0</v>
      </c>
      <c r="C226" s="58">
        <f t="shared" si="8"/>
        <v>78190099005</v>
      </c>
      <c r="D226" s="58">
        <f t="shared" si="9"/>
        <v>8377510608</v>
      </c>
      <c r="E226" s="59"/>
      <c r="F226" s="60" t="str">
        <f t="shared" si="1"/>
        <v>-</v>
      </c>
      <c r="G226" s="5" t="str">
        <f t="shared" si="2"/>
        <v>nops</v>
      </c>
      <c r="H226" s="83"/>
      <c r="I226" s="62" t="str">
        <f t="shared" si="10"/>
        <v/>
      </c>
      <c r="J226" s="62" t="str">
        <f t="shared" si="3"/>
        <v/>
      </c>
      <c r="K226" s="68" t="str">
        <f t="shared" si="11"/>
        <v/>
      </c>
      <c r="L226" s="64"/>
      <c r="M226" s="64"/>
      <c r="N226" s="64"/>
      <c r="O226" s="64"/>
      <c r="P226" s="4"/>
      <c r="Q226" s="4"/>
      <c r="R226" s="4"/>
      <c r="S226" s="4"/>
      <c r="T226" s="4"/>
      <c r="U226" s="4"/>
      <c r="V226" s="8">
        <f t="shared" si="12"/>
        <v>52742024820</v>
      </c>
      <c r="W226" s="5" t="str">
        <f t="shared" si="7"/>
        <v>nops</v>
      </c>
      <c r="X226" s="67"/>
      <c r="Y226" s="4"/>
      <c r="Z226" s="4"/>
      <c r="AA226" s="4"/>
    </row>
    <row r="227" ht="19.5" customHeight="1">
      <c r="A227" s="56" t="s">
        <v>28</v>
      </c>
      <c r="B227" s="57">
        <v>208.0</v>
      </c>
      <c r="C227" s="58">
        <f t="shared" si="8"/>
        <v>87572910885</v>
      </c>
      <c r="D227" s="58">
        <f t="shared" si="9"/>
        <v>9382811881</v>
      </c>
      <c r="E227" s="59"/>
      <c r="F227" s="60" t="str">
        <f t="shared" si="1"/>
        <v>-</v>
      </c>
      <c r="G227" s="5" t="str">
        <f t="shared" si="2"/>
        <v>nops</v>
      </c>
      <c r="H227" s="83"/>
      <c r="I227" s="62" t="str">
        <f t="shared" si="10"/>
        <v/>
      </c>
      <c r="J227" s="62" t="str">
        <f t="shared" si="3"/>
        <v/>
      </c>
      <c r="K227" s="68" t="str">
        <f t="shared" si="11"/>
        <v/>
      </c>
      <c r="L227" s="64"/>
      <c r="M227" s="64"/>
      <c r="N227" s="64"/>
      <c r="O227" s="64"/>
      <c r="P227" s="4"/>
      <c r="Q227" s="4"/>
      <c r="R227" s="4"/>
      <c r="S227" s="4"/>
      <c r="T227" s="4"/>
      <c r="U227" s="4"/>
      <c r="V227" s="8">
        <f t="shared" si="12"/>
        <v>59071067798</v>
      </c>
      <c r="W227" s="5" t="str">
        <f t="shared" si="7"/>
        <v>nops</v>
      </c>
      <c r="X227" s="67"/>
      <c r="Y227" s="4"/>
      <c r="Z227" s="4"/>
      <c r="AA227" s="4"/>
    </row>
    <row r="228" ht="19.5" customHeight="1">
      <c r="A228" s="56" t="s">
        <v>28</v>
      </c>
      <c r="B228" s="57">
        <v>209.0</v>
      </c>
      <c r="C228" s="58">
        <f t="shared" si="8"/>
        <v>98081660191</v>
      </c>
      <c r="D228" s="58">
        <f t="shared" si="9"/>
        <v>10508749306</v>
      </c>
      <c r="E228" s="59"/>
      <c r="F228" s="60" t="str">
        <f t="shared" si="1"/>
        <v>-</v>
      </c>
      <c r="G228" s="5" t="str">
        <f t="shared" si="2"/>
        <v>nops</v>
      </c>
      <c r="H228" s="83"/>
      <c r="I228" s="62" t="str">
        <f t="shared" si="10"/>
        <v/>
      </c>
      <c r="J228" s="62" t="str">
        <f t="shared" si="3"/>
        <v/>
      </c>
      <c r="K228" s="68" t="str">
        <f t="shared" si="11"/>
        <v/>
      </c>
      <c r="L228" s="64"/>
      <c r="M228" s="64"/>
      <c r="N228" s="64"/>
      <c r="O228" s="64"/>
      <c r="P228" s="4"/>
      <c r="Q228" s="4"/>
      <c r="R228" s="4"/>
      <c r="S228" s="4"/>
      <c r="T228" s="4"/>
      <c r="U228" s="4"/>
      <c r="V228" s="8">
        <f t="shared" si="12"/>
        <v>66159595934</v>
      </c>
      <c r="W228" s="5" t="str">
        <f t="shared" si="7"/>
        <v>nops</v>
      </c>
      <c r="X228" s="67"/>
      <c r="Y228" s="4"/>
      <c r="Z228" s="4"/>
      <c r="AA228" s="4"/>
    </row>
    <row r="229" ht="19.5" customHeight="1">
      <c r="A229" s="56" t="s">
        <v>28</v>
      </c>
      <c r="B229" s="57">
        <v>210.0</v>
      </c>
      <c r="C229" s="58">
        <f t="shared" si="8"/>
        <v>109851459414</v>
      </c>
      <c r="D229" s="58">
        <f t="shared" si="9"/>
        <v>11769799223</v>
      </c>
      <c r="E229" s="59"/>
      <c r="F229" s="60" t="str">
        <f t="shared" si="1"/>
        <v>-</v>
      </c>
      <c r="G229" s="5" t="str">
        <f t="shared" si="2"/>
        <v>nops</v>
      </c>
      <c r="H229" s="83"/>
      <c r="I229" s="62" t="str">
        <f t="shared" si="10"/>
        <v/>
      </c>
      <c r="J229" s="62" t="str">
        <f t="shared" si="3"/>
        <v/>
      </c>
      <c r="K229" s="68" t="str">
        <f t="shared" si="11"/>
        <v/>
      </c>
      <c r="L229" s="64"/>
      <c r="M229" s="64"/>
      <c r="N229" s="64"/>
      <c r="O229" s="64"/>
      <c r="P229" s="4"/>
      <c r="Q229" s="4"/>
      <c r="R229" s="4"/>
      <c r="S229" s="4"/>
      <c r="T229" s="4"/>
      <c r="U229" s="4"/>
      <c r="V229" s="8">
        <f t="shared" si="12"/>
        <v>74098747446</v>
      </c>
      <c r="W229" s="5" t="str">
        <f t="shared" si="7"/>
        <v>nops</v>
      </c>
      <c r="X229" s="67"/>
      <c r="Y229" s="4"/>
      <c r="Z229" s="4"/>
      <c r="AA229" s="4"/>
    </row>
    <row r="230" ht="19.5" customHeight="1">
      <c r="A230" s="56" t="s">
        <v>28</v>
      </c>
      <c r="B230" s="57">
        <v>211.0</v>
      </c>
      <c r="C230" s="58">
        <f t="shared" si="8"/>
        <v>123033634544</v>
      </c>
      <c r="D230" s="58">
        <f t="shared" si="9"/>
        <v>13182175130</v>
      </c>
      <c r="E230" s="59"/>
      <c r="F230" s="60" t="str">
        <f t="shared" si="1"/>
        <v>-</v>
      </c>
      <c r="G230" s="5" t="str">
        <f t="shared" si="2"/>
        <v>nops</v>
      </c>
      <c r="H230" s="83"/>
      <c r="I230" s="62" t="str">
        <f t="shared" si="10"/>
        <v/>
      </c>
      <c r="J230" s="62" t="str">
        <f t="shared" si="3"/>
        <v/>
      </c>
      <c r="K230" s="68" t="str">
        <f t="shared" si="11"/>
        <v/>
      </c>
      <c r="L230" s="64"/>
      <c r="M230" s="64"/>
      <c r="N230" s="64"/>
      <c r="O230" s="64"/>
      <c r="P230" s="4"/>
      <c r="Q230" s="4"/>
      <c r="R230" s="4"/>
      <c r="S230" s="4"/>
      <c r="T230" s="4"/>
      <c r="U230" s="4"/>
      <c r="V230" s="8">
        <f t="shared" si="12"/>
        <v>82990597140</v>
      </c>
      <c r="W230" s="5" t="str">
        <f t="shared" si="7"/>
        <v>nops</v>
      </c>
      <c r="X230" s="67"/>
      <c r="Y230" s="4"/>
      <c r="Z230" s="4"/>
      <c r="AA230" s="4"/>
    </row>
    <row r="231" ht="19.5" customHeight="1">
      <c r="A231" s="56" t="s">
        <v>28</v>
      </c>
      <c r="B231" s="57">
        <v>212.0</v>
      </c>
      <c r="C231" s="58">
        <f t="shared" si="8"/>
        <v>137797670689</v>
      </c>
      <c r="D231" s="58">
        <f t="shared" si="9"/>
        <v>14764036145</v>
      </c>
      <c r="E231" s="59"/>
      <c r="F231" s="60" t="str">
        <f t="shared" si="1"/>
        <v>-</v>
      </c>
      <c r="G231" s="5" t="str">
        <f t="shared" si="2"/>
        <v>nops</v>
      </c>
      <c r="H231" s="83"/>
      <c r="I231" s="62" t="str">
        <f t="shared" si="10"/>
        <v/>
      </c>
      <c r="J231" s="62" t="str">
        <f t="shared" si="3"/>
        <v/>
      </c>
      <c r="K231" s="68" t="str">
        <f t="shared" si="11"/>
        <v/>
      </c>
      <c r="L231" s="64"/>
      <c r="M231" s="64"/>
      <c r="N231" s="64"/>
      <c r="O231" s="64"/>
      <c r="P231" s="4"/>
      <c r="Q231" s="4"/>
      <c r="R231" s="4"/>
      <c r="S231" s="4"/>
      <c r="T231" s="4"/>
      <c r="U231" s="4"/>
      <c r="V231" s="8">
        <f t="shared" si="12"/>
        <v>92949468796</v>
      </c>
      <c r="W231" s="5" t="str">
        <f t="shared" si="7"/>
        <v>nops</v>
      </c>
      <c r="X231" s="67"/>
      <c r="Y231" s="4"/>
      <c r="Z231" s="4"/>
      <c r="AA231" s="4"/>
    </row>
    <row r="232" ht="19.5" customHeight="1">
      <c r="A232" s="56" t="s">
        <v>28</v>
      </c>
      <c r="B232" s="57">
        <v>213.0</v>
      </c>
      <c r="C232" s="58">
        <f t="shared" si="8"/>
        <v>154333391172</v>
      </c>
      <c r="D232" s="58">
        <f t="shared" si="9"/>
        <v>16535720483</v>
      </c>
      <c r="E232" s="59"/>
      <c r="F232" s="60" t="str">
        <f t="shared" si="1"/>
        <v>-</v>
      </c>
      <c r="G232" s="5" t="str">
        <f t="shared" si="2"/>
        <v>nops</v>
      </c>
      <c r="H232" s="83"/>
      <c r="I232" s="62" t="str">
        <f t="shared" si="10"/>
        <v/>
      </c>
      <c r="J232" s="62" t="str">
        <f t="shared" si="3"/>
        <v/>
      </c>
      <c r="K232" s="68" t="str">
        <f t="shared" si="11"/>
        <v/>
      </c>
      <c r="L232" s="64"/>
      <c r="M232" s="64"/>
      <c r="N232" s="64"/>
      <c r="O232" s="64"/>
      <c r="P232" s="4"/>
      <c r="Q232" s="4"/>
      <c r="R232" s="4"/>
      <c r="S232" s="4"/>
      <c r="T232" s="4"/>
      <c r="U232" s="4"/>
      <c r="V232" s="8">
        <f t="shared" si="12"/>
        <v>104103405052</v>
      </c>
      <c r="W232" s="5" t="str">
        <f t="shared" si="7"/>
        <v>nops</v>
      </c>
      <c r="X232" s="67"/>
      <c r="Y232" s="4"/>
      <c r="Z232" s="4"/>
      <c r="AA232" s="4"/>
    </row>
    <row r="233" ht="19.5" customHeight="1">
      <c r="A233" s="56" t="s">
        <v>28</v>
      </c>
      <c r="B233" s="57">
        <v>214.0</v>
      </c>
      <c r="C233" s="58">
        <f t="shared" si="8"/>
        <v>172853398113</v>
      </c>
      <c r="D233" s="58">
        <f t="shared" si="9"/>
        <v>18520006941</v>
      </c>
      <c r="E233" s="59"/>
      <c r="F233" s="60" t="str">
        <f t="shared" si="1"/>
        <v>-</v>
      </c>
      <c r="G233" s="5" t="str">
        <f t="shared" si="2"/>
        <v>nops</v>
      </c>
      <c r="H233" s="83"/>
      <c r="I233" s="62" t="str">
        <f t="shared" si="10"/>
        <v/>
      </c>
      <c r="J233" s="62" t="str">
        <f t="shared" si="3"/>
        <v/>
      </c>
      <c r="K233" s="68" t="str">
        <f t="shared" si="11"/>
        <v/>
      </c>
      <c r="L233" s="64"/>
      <c r="M233" s="64"/>
      <c r="N233" s="64"/>
      <c r="O233" s="64"/>
      <c r="P233" s="4"/>
      <c r="Q233" s="4"/>
      <c r="R233" s="4"/>
      <c r="S233" s="4"/>
      <c r="T233" s="4"/>
      <c r="U233" s="4"/>
      <c r="V233" s="8">
        <f t="shared" si="12"/>
        <v>116595813658</v>
      </c>
      <c r="W233" s="5" t="str">
        <f t="shared" si="7"/>
        <v>nops</v>
      </c>
      <c r="X233" s="67"/>
      <c r="Y233" s="4"/>
      <c r="Z233" s="4"/>
      <c r="AA233" s="4"/>
    </row>
    <row r="234" ht="19.5" customHeight="1">
      <c r="A234" s="56" t="s">
        <v>28</v>
      </c>
      <c r="B234" s="57">
        <v>215.0</v>
      </c>
      <c r="C234" s="58">
        <f t="shared" si="8"/>
        <v>193595805886</v>
      </c>
      <c r="D234" s="58">
        <f t="shared" si="9"/>
        <v>20742407774</v>
      </c>
      <c r="E234" s="59"/>
      <c r="F234" s="60" t="str">
        <f t="shared" si="1"/>
        <v>-</v>
      </c>
      <c r="G234" s="5" t="str">
        <f t="shared" si="2"/>
        <v>nops</v>
      </c>
      <c r="H234" s="83"/>
      <c r="I234" s="62" t="str">
        <f t="shared" si="10"/>
        <v/>
      </c>
      <c r="J234" s="62" t="str">
        <f t="shared" si="3"/>
        <v/>
      </c>
      <c r="K234" s="68" t="str">
        <f t="shared" si="11"/>
        <v/>
      </c>
      <c r="L234" s="64"/>
      <c r="M234" s="64"/>
      <c r="N234" s="64"/>
      <c r="O234" s="64"/>
      <c r="P234" s="4"/>
      <c r="Q234" s="4"/>
      <c r="R234" s="4"/>
      <c r="S234" s="4"/>
      <c r="T234" s="4"/>
      <c r="U234" s="4"/>
      <c r="V234" s="8">
        <f t="shared" si="12"/>
        <v>130587311297</v>
      </c>
      <c r="W234" s="5" t="str">
        <f t="shared" si="7"/>
        <v>nops</v>
      </c>
      <c r="X234" s="67"/>
      <c r="Y234" s="4"/>
      <c r="Z234" s="4"/>
      <c r="AA234" s="4"/>
    </row>
    <row r="235" ht="19.5" customHeight="1">
      <c r="A235" s="56" t="s">
        <v>28</v>
      </c>
      <c r="B235" s="57">
        <v>216.0</v>
      </c>
      <c r="C235" s="58">
        <f t="shared" si="8"/>
        <v>216827302593</v>
      </c>
      <c r="D235" s="58">
        <f t="shared" si="9"/>
        <v>23231496706</v>
      </c>
      <c r="E235" s="59"/>
      <c r="F235" s="60" t="str">
        <f t="shared" si="1"/>
        <v>-</v>
      </c>
      <c r="G235" s="5" t="str">
        <f t="shared" si="2"/>
        <v>nops</v>
      </c>
      <c r="H235" s="83"/>
      <c r="I235" s="62" t="str">
        <f t="shared" si="10"/>
        <v/>
      </c>
      <c r="J235" s="62" t="str">
        <f t="shared" si="3"/>
        <v/>
      </c>
      <c r="K235" s="68" t="str">
        <f t="shared" si="11"/>
        <v/>
      </c>
      <c r="L235" s="64"/>
      <c r="M235" s="64"/>
      <c r="N235" s="64"/>
      <c r="O235" s="64"/>
      <c r="P235" s="4"/>
      <c r="Q235" s="4"/>
      <c r="R235" s="4"/>
      <c r="S235" s="4"/>
      <c r="T235" s="4"/>
      <c r="U235" s="4"/>
      <c r="V235" s="8">
        <f t="shared" si="12"/>
        <v>146257788653</v>
      </c>
      <c r="W235" s="5" t="str">
        <f t="shared" si="7"/>
        <v>nops</v>
      </c>
      <c r="X235" s="67"/>
      <c r="Y235" s="4"/>
      <c r="Z235" s="4"/>
      <c r="AA235" s="4"/>
    </row>
    <row r="236" ht="19.5" customHeight="1">
      <c r="A236" s="56" t="s">
        <v>28</v>
      </c>
      <c r="B236" s="57">
        <v>217.0</v>
      </c>
      <c r="C236" s="58">
        <f t="shared" si="8"/>
        <v>242846578904</v>
      </c>
      <c r="D236" s="58">
        <f t="shared" si="9"/>
        <v>26019276311</v>
      </c>
      <c r="E236" s="59"/>
      <c r="F236" s="60" t="str">
        <f t="shared" si="1"/>
        <v>-</v>
      </c>
      <c r="G236" s="5" t="str">
        <f t="shared" si="2"/>
        <v>nops</v>
      </c>
      <c r="H236" s="83"/>
      <c r="I236" s="62" t="str">
        <f t="shared" si="10"/>
        <v/>
      </c>
      <c r="J236" s="62" t="str">
        <f t="shared" si="3"/>
        <v/>
      </c>
      <c r="K236" s="68" t="str">
        <f t="shared" si="11"/>
        <v/>
      </c>
      <c r="L236" s="64"/>
      <c r="M236" s="64"/>
      <c r="N236" s="64"/>
      <c r="O236" s="64"/>
      <c r="P236" s="4"/>
      <c r="Q236" s="4"/>
      <c r="R236" s="4"/>
      <c r="S236" s="4"/>
      <c r="T236" s="4"/>
      <c r="U236" s="4"/>
      <c r="V236" s="8">
        <f t="shared" si="12"/>
        <v>163808723291</v>
      </c>
      <c r="W236" s="5" t="str">
        <f t="shared" si="7"/>
        <v>nops</v>
      </c>
      <c r="X236" s="67"/>
      <c r="Y236" s="4"/>
      <c r="Z236" s="4"/>
      <c r="AA236" s="4"/>
    </row>
    <row r="237" ht="19.5" customHeight="1">
      <c r="A237" s="56" t="s">
        <v>28</v>
      </c>
      <c r="B237" s="57">
        <v>218.0</v>
      </c>
      <c r="C237" s="58">
        <f t="shared" si="8"/>
        <v>271988168372</v>
      </c>
      <c r="D237" s="58">
        <f t="shared" si="9"/>
        <v>29141589468</v>
      </c>
      <c r="E237" s="59"/>
      <c r="F237" s="60" t="str">
        <f t="shared" si="1"/>
        <v>-</v>
      </c>
      <c r="G237" s="5" t="str">
        <f t="shared" si="2"/>
        <v>nops</v>
      </c>
      <c r="H237" s="83"/>
      <c r="I237" s="62" t="str">
        <f t="shared" si="10"/>
        <v/>
      </c>
      <c r="J237" s="62" t="str">
        <f t="shared" si="3"/>
        <v/>
      </c>
      <c r="K237" s="68" t="str">
        <f t="shared" si="11"/>
        <v/>
      </c>
      <c r="L237" s="64"/>
      <c r="M237" s="64"/>
      <c r="N237" s="64"/>
      <c r="O237" s="64"/>
      <c r="P237" s="4"/>
      <c r="Q237" s="4"/>
      <c r="R237" s="4"/>
      <c r="S237" s="4"/>
      <c r="T237" s="4"/>
      <c r="U237" s="4"/>
      <c r="V237" s="8">
        <f t="shared" si="12"/>
        <v>183465770086</v>
      </c>
      <c r="W237" s="5" t="str">
        <f t="shared" si="7"/>
        <v>nops</v>
      </c>
      <c r="X237" s="67"/>
      <c r="Y237" s="4"/>
      <c r="Z237" s="4"/>
      <c r="AA237" s="4"/>
    </row>
    <row r="238" ht="19.5" customHeight="1">
      <c r="A238" s="56" t="s">
        <v>28</v>
      </c>
      <c r="B238" s="57">
        <v>219.0</v>
      </c>
      <c r="C238" s="58">
        <f t="shared" si="8"/>
        <v>304626748577</v>
      </c>
      <c r="D238" s="58">
        <f t="shared" si="9"/>
        <v>32638580205</v>
      </c>
      <c r="E238" s="59"/>
      <c r="F238" s="60" t="str">
        <f t="shared" si="1"/>
        <v>-</v>
      </c>
      <c r="G238" s="5" t="str">
        <f t="shared" si="2"/>
        <v>nops</v>
      </c>
      <c r="H238" s="83"/>
      <c r="I238" s="62" t="str">
        <f t="shared" si="10"/>
        <v/>
      </c>
      <c r="J238" s="62" t="str">
        <f t="shared" si="3"/>
        <v/>
      </c>
      <c r="K238" s="68" t="str">
        <f t="shared" si="11"/>
        <v/>
      </c>
      <c r="L238" s="64"/>
      <c r="M238" s="64"/>
      <c r="N238" s="64"/>
      <c r="O238" s="64"/>
      <c r="P238" s="4"/>
      <c r="Q238" s="4"/>
      <c r="R238" s="4"/>
      <c r="S238" s="4"/>
      <c r="T238" s="4"/>
      <c r="U238" s="4"/>
      <c r="V238" s="8">
        <f t="shared" si="12"/>
        <v>205481662497</v>
      </c>
      <c r="W238" s="5" t="str">
        <f t="shared" si="7"/>
        <v>nops</v>
      </c>
      <c r="X238" s="67"/>
      <c r="Y238" s="4"/>
      <c r="Z238" s="4"/>
      <c r="AA238" s="4"/>
    </row>
    <row r="239" ht="19.5" customHeight="1">
      <c r="A239" s="56" t="s">
        <v>28</v>
      </c>
      <c r="B239" s="57">
        <v>220.0</v>
      </c>
      <c r="C239" s="58">
        <f t="shared" si="8"/>
        <v>341181958406</v>
      </c>
      <c r="D239" s="58">
        <f t="shared" si="9"/>
        <v>36555209829</v>
      </c>
      <c r="E239" s="59"/>
      <c r="F239" s="60" t="str">
        <f t="shared" si="1"/>
        <v>-</v>
      </c>
      <c r="G239" s="5" t="str">
        <f t="shared" si="2"/>
        <v>nops</v>
      </c>
      <c r="H239" s="83"/>
      <c r="I239" s="62" t="str">
        <f t="shared" si="10"/>
        <v/>
      </c>
      <c r="J239" s="62" t="str">
        <f t="shared" si="3"/>
        <v/>
      </c>
      <c r="K239" s="68" t="str">
        <f t="shared" si="11"/>
        <v/>
      </c>
      <c r="L239" s="64"/>
      <c r="M239" s="64"/>
      <c r="N239" s="64"/>
      <c r="O239" s="64"/>
      <c r="P239" s="4"/>
      <c r="Q239" s="4"/>
      <c r="R239" s="4"/>
      <c r="S239" s="4"/>
      <c r="T239" s="4"/>
      <c r="U239" s="4"/>
      <c r="V239" s="8">
        <f t="shared" si="12"/>
        <v>230139461996</v>
      </c>
      <c r="W239" s="5" t="str">
        <f t="shared" si="7"/>
        <v>nops</v>
      </c>
      <c r="X239" s="67"/>
      <c r="Y239" s="4"/>
      <c r="Z239" s="4"/>
      <c r="AA239" s="4"/>
    </row>
    <row r="240" ht="19.5" customHeight="1">
      <c r="A240" s="56" t="s">
        <v>28</v>
      </c>
      <c r="B240" s="57">
        <v>221.0</v>
      </c>
      <c r="C240" s="58">
        <f t="shared" si="8"/>
        <v>382123793415</v>
      </c>
      <c r="D240" s="58">
        <f t="shared" si="9"/>
        <v>40941835009</v>
      </c>
      <c r="E240" s="59"/>
      <c r="F240" s="60" t="str">
        <f t="shared" si="1"/>
        <v>-</v>
      </c>
      <c r="G240" s="5" t="str">
        <f t="shared" si="2"/>
        <v>nops</v>
      </c>
      <c r="H240" s="83"/>
      <c r="I240" s="62" t="str">
        <f t="shared" si="10"/>
        <v/>
      </c>
      <c r="J240" s="62" t="str">
        <f t="shared" si="3"/>
        <v/>
      </c>
      <c r="K240" s="68" t="str">
        <f t="shared" si="11"/>
        <v/>
      </c>
      <c r="L240" s="64"/>
      <c r="M240" s="64"/>
      <c r="N240" s="64"/>
      <c r="O240" s="64"/>
      <c r="P240" s="4"/>
      <c r="Q240" s="4"/>
      <c r="R240" s="4"/>
      <c r="S240" s="4"/>
      <c r="T240" s="4"/>
      <c r="U240" s="4"/>
      <c r="V240" s="8">
        <f t="shared" si="12"/>
        <v>257756197436</v>
      </c>
      <c r="W240" s="5" t="str">
        <f t="shared" si="7"/>
        <v>nops</v>
      </c>
      <c r="X240" s="67"/>
      <c r="Y240" s="4"/>
      <c r="Z240" s="4"/>
      <c r="AA240" s="4"/>
    </row>
    <row r="241" ht="19.5" customHeight="1">
      <c r="A241" s="56" t="s">
        <v>28</v>
      </c>
      <c r="B241" s="57">
        <v>222.0</v>
      </c>
      <c r="C241" s="58">
        <f t="shared" si="8"/>
        <v>427978648625</v>
      </c>
      <c r="D241" s="58">
        <f t="shared" si="9"/>
        <v>45854855210</v>
      </c>
      <c r="E241" s="59"/>
      <c r="F241" s="60" t="str">
        <f t="shared" si="1"/>
        <v>-</v>
      </c>
      <c r="G241" s="5" t="str">
        <f t="shared" si="2"/>
        <v>nops</v>
      </c>
      <c r="H241" s="83"/>
      <c r="I241" s="62" t="str">
        <f t="shared" si="10"/>
        <v/>
      </c>
      <c r="J241" s="62" t="str">
        <f t="shared" si="3"/>
        <v/>
      </c>
      <c r="K241" s="68" t="str">
        <f t="shared" si="11"/>
        <v/>
      </c>
      <c r="L241" s="64"/>
      <c r="M241" s="64"/>
      <c r="N241" s="64"/>
      <c r="O241" s="64"/>
      <c r="P241" s="4"/>
      <c r="Q241" s="4"/>
      <c r="R241" s="4"/>
      <c r="S241" s="4"/>
      <c r="T241" s="4"/>
      <c r="U241" s="4"/>
      <c r="V241" s="8">
        <f t="shared" si="12"/>
        <v>288686941128</v>
      </c>
      <c r="W241" s="5" t="str">
        <f t="shared" si="7"/>
        <v>nops</v>
      </c>
      <c r="X241" s="67"/>
      <c r="Y241" s="4"/>
      <c r="Z241" s="4"/>
      <c r="AA241" s="4"/>
    </row>
    <row r="242" ht="19.5" customHeight="1">
      <c r="A242" s="56" t="s">
        <v>28</v>
      </c>
      <c r="B242" s="57">
        <v>223.0</v>
      </c>
      <c r="C242" s="58">
        <f t="shared" si="8"/>
        <v>479336086460</v>
      </c>
      <c r="D242" s="58">
        <f t="shared" si="9"/>
        <v>51357437835</v>
      </c>
      <c r="E242" s="59"/>
      <c r="F242" s="60" t="str">
        <f t="shared" si="1"/>
        <v>-</v>
      </c>
      <c r="G242" s="5" t="str">
        <f t="shared" si="2"/>
        <v>nops</v>
      </c>
      <c r="H242" s="83"/>
      <c r="I242" s="62" t="str">
        <f t="shared" si="10"/>
        <v/>
      </c>
      <c r="J242" s="62" t="str">
        <f t="shared" si="3"/>
        <v/>
      </c>
      <c r="K242" s="68" t="str">
        <f t="shared" si="11"/>
        <v/>
      </c>
      <c r="L242" s="64"/>
      <c r="M242" s="64"/>
      <c r="N242" s="64"/>
      <c r="O242" s="64"/>
      <c r="P242" s="4"/>
      <c r="Q242" s="4"/>
      <c r="R242" s="4"/>
      <c r="S242" s="4"/>
      <c r="T242" s="4"/>
      <c r="U242" s="4"/>
      <c r="V242" s="8">
        <f t="shared" si="12"/>
        <v>323329374063</v>
      </c>
      <c r="W242" s="5" t="str">
        <f t="shared" si="7"/>
        <v>nops</v>
      </c>
      <c r="X242" s="67"/>
      <c r="Y242" s="4"/>
      <c r="Z242" s="4"/>
      <c r="AA242" s="4"/>
    </row>
    <row r="243" ht="19.5" customHeight="1">
      <c r="A243" s="56" t="s">
        <v>28</v>
      </c>
      <c r="B243" s="57">
        <v>224.0</v>
      </c>
      <c r="C243" s="58">
        <f t="shared" si="8"/>
        <v>536856416835</v>
      </c>
      <c r="D243" s="58">
        <f t="shared" si="9"/>
        <v>57520330375</v>
      </c>
      <c r="E243" s="59"/>
      <c r="F243" s="60" t="str">
        <f t="shared" si="1"/>
        <v>-</v>
      </c>
      <c r="G243" s="5" t="str">
        <f t="shared" si="2"/>
        <v>nops</v>
      </c>
      <c r="H243" s="83"/>
      <c r="I243" s="62" t="str">
        <f t="shared" si="10"/>
        <v/>
      </c>
      <c r="J243" s="62" t="str">
        <f t="shared" si="3"/>
        <v/>
      </c>
      <c r="K243" s="68" t="str">
        <f t="shared" si="11"/>
        <v/>
      </c>
      <c r="L243" s="64"/>
      <c r="M243" s="64"/>
      <c r="N243" s="64"/>
      <c r="O243" s="64"/>
      <c r="P243" s="4"/>
      <c r="Q243" s="4"/>
      <c r="R243" s="4"/>
      <c r="S243" s="4"/>
      <c r="T243" s="4"/>
      <c r="U243" s="4"/>
      <c r="V243" s="8">
        <f t="shared" si="12"/>
        <v>362128898951</v>
      </c>
      <c r="W243" s="5" t="str">
        <f t="shared" si="7"/>
        <v>nops</v>
      </c>
      <c r="X243" s="67"/>
      <c r="Y243" s="4"/>
      <c r="Z243" s="4"/>
      <c r="AA243" s="4"/>
    </row>
    <row r="244" ht="19.5" customHeight="1">
      <c r="A244" s="56" t="s">
        <v>28</v>
      </c>
      <c r="B244" s="57">
        <v>225.0</v>
      </c>
      <c r="C244" s="58">
        <f t="shared" si="8"/>
        <v>601279186855</v>
      </c>
      <c r="D244" s="58">
        <f t="shared" si="9"/>
        <v>64422770020</v>
      </c>
      <c r="E244" s="59"/>
      <c r="F244" s="60" t="str">
        <f t="shared" si="1"/>
        <v>-</v>
      </c>
      <c r="G244" s="5" t="str">
        <f t="shared" si="2"/>
        <v>nops</v>
      </c>
      <c r="H244" s="83"/>
      <c r="I244" s="62" t="str">
        <f t="shared" si="10"/>
        <v/>
      </c>
      <c r="J244" s="62" t="str">
        <f t="shared" si="3"/>
        <v/>
      </c>
      <c r="K244" s="68" t="str">
        <f t="shared" si="11"/>
        <v/>
      </c>
      <c r="L244" s="64"/>
      <c r="M244" s="64"/>
      <c r="N244" s="64"/>
      <c r="O244" s="64"/>
      <c r="P244" s="4"/>
      <c r="Q244" s="4"/>
      <c r="R244" s="4"/>
      <c r="S244" s="4"/>
      <c r="T244" s="4"/>
      <c r="U244" s="4"/>
      <c r="V244" s="8">
        <f t="shared" si="12"/>
        <v>405584366825</v>
      </c>
      <c r="W244" s="5" t="str">
        <f t="shared" si="7"/>
        <v>nops</v>
      </c>
      <c r="X244" s="67"/>
      <c r="Y244" s="4"/>
      <c r="Z244" s="4"/>
      <c r="AA244" s="4"/>
    </row>
    <row r="245" ht="19.5" customHeight="1">
      <c r="A245" s="56" t="s">
        <v>28</v>
      </c>
      <c r="B245" s="57">
        <v>226.0</v>
      </c>
      <c r="C245" s="58">
        <f t="shared" si="8"/>
        <v>673432689277</v>
      </c>
      <c r="D245" s="58">
        <f t="shared" si="9"/>
        <v>72153502423</v>
      </c>
      <c r="E245" s="59"/>
      <c r="F245" s="60" t="str">
        <f t="shared" si="1"/>
        <v>-</v>
      </c>
      <c r="G245" s="5" t="str">
        <f t="shared" si="2"/>
        <v>nops</v>
      </c>
      <c r="H245" s="83"/>
      <c r="I245" s="62" t="str">
        <f t="shared" si="10"/>
        <v/>
      </c>
      <c r="J245" s="62" t="str">
        <f t="shared" si="3"/>
        <v/>
      </c>
      <c r="K245" s="68" t="str">
        <f t="shared" si="11"/>
        <v/>
      </c>
      <c r="L245" s="64"/>
      <c r="M245" s="64"/>
      <c r="N245" s="64"/>
      <c r="O245" s="64"/>
      <c r="P245" s="4"/>
      <c r="Q245" s="4"/>
      <c r="R245" s="4"/>
      <c r="S245" s="4"/>
      <c r="T245" s="4"/>
      <c r="U245" s="4"/>
      <c r="V245" s="8">
        <f t="shared" si="12"/>
        <v>454254490844</v>
      </c>
      <c r="W245" s="5" t="str">
        <f t="shared" si="7"/>
        <v>nops</v>
      </c>
      <c r="X245" s="67"/>
      <c r="Y245" s="4"/>
      <c r="Z245" s="4"/>
      <c r="AA245" s="4"/>
    </row>
    <row r="246" ht="19.5" customHeight="1">
      <c r="A246" s="56" t="s">
        <v>28</v>
      </c>
      <c r="B246" s="57">
        <v>227.0</v>
      </c>
      <c r="C246" s="58">
        <f t="shared" si="8"/>
        <v>754244611991</v>
      </c>
      <c r="D246" s="58">
        <f t="shared" si="9"/>
        <v>80811922713</v>
      </c>
      <c r="E246" s="59"/>
      <c r="F246" s="60" t="str">
        <f t="shared" si="1"/>
        <v>-</v>
      </c>
      <c r="G246" s="5" t="str">
        <f t="shared" si="2"/>
        <v>nops</v>
      </c>
      <c r="H246" s="83"/>
      <c r="I246" s="62" t="str">
        <f t="shared" si="10"/>
        <v/>
      </c>
      <c r="J246" s="62" t="str">
        <f t="shared" si="3"/>
        <v/>
      </c>
      <c r="K246" s="68" t="str">
        <f t="shared" si="11"/>
        <v/>
      </c>
      <c r="L246" s="64"/>
      <c r="M246" s="64"/>
      <c r="N246" s="64"/>
      <c r="O246" s="64"/>
      <c r="P246" s="4"/>
      <c r="Q246" s="4"/>
      <c r="R246" s="4"/>
      <c r="S246" s="4"/>
      <c r="T246" s="4"/>
      <c r="U246" s="4"/>
      <c r="V246" s="8">
        <f t="shared" si="12"/>
        <v>508765029746</v>
      </c>
      <c r="W246" s="5" t="str">
        <f t="shared" si="7"/>
        <v>nops</v>
      </c>
      <c r="X246" s="67"/>
      <c r="Y246" s="4"/>
      <c r="Z246" s="4"/>
      <c r="AA246" s="4"/>
    </row>
    <row r="247" ht="19.5" customHeight="1">
      <c r="A247" s="56" t="s">
        <v>28</v>
      </c>
      <c r="B247" s="57">
        <v>228.0</v>
      </c>
      <c r="C247" s="58">
        <f t="shared" si="8"/>
        <v>844753965430</v>
      </c>
      <c r="D247" s="58">
        <f t="shared" si="9"/>
        <v>90509353439</v>
      </c>
      <c r="E247" s="59"/>
      <c r="F247" s="60" t="str">
        <f t="shared" si="1"/>
        <v>-</v>
      </c>
      <c r="G247" s="5" t="str">
        <f t="shared" si="2"/>
        <v>nops</v>
      </c>
      <c r="H247" s="83"/>
      <c r="I247" s="62" t="str">
        <f t="shared" si="10"/>
        <v/>
      </c>
      <c r="J247" s="62" t="str">
        <f t="shared" si="3"/>
        <v/>
      </c>
      <c r="K247" s="68" t="str">
        <f t="shared" si="11"/>
        <v/>
      </c>
      <c r="L247" s="64"/>
      <c r="M247" s="64"/>
      <c r="N247" s="64"/>
      <c r="O247" s="64"/>
      <c r="P247" s="4"/>
      <c r="Q247" s="4"/>
      <c r="R247" s="4"/>
      <c r="S247" s="4"/>
      <c r="T247" s="4"/>
      <c r="U247" s="4"/>
      <c r="V247" s="8">
        <f t="shared" si="12"/>
        <v>569816833315</v>
      </c>
      <c r="W247" s="5" t="str">
        <f t="shared" si="7"/>
        <v>nops</v>
      </c>
      <c r="X247" s="67"/>
      <c r="Y247" s="4"/>
      <c r="Z247" s="4"/>
      <c r="AA247" s="4"/>
    </row>
    <row r="248" ht="19.5" customHeight="1">
      <c r="A248" s="56" t="s">
        <v>28</v>
      </c>
      <c r="B248" s="57">
        <v>229.0</v>
      </c>
      <c r="C248" s="58">
        <f t="shared" si="8"/>
        <v>946124441281</v>
      </c>
      <c r="D248" s="58">
        <f t="shared" si="9"/>
        <v>101370475852</v>
      </c>
      <c r="E248" s="59"/>
      <c r="F248" s="60" t="str">
        <f t="shared" si="1"/>
        <v>-</v>
      </c>
      <c r="G248" s="5" t="str">
        <f t="shared" si="2"/>
        <v>nops</v>
      </c>
      <c r="H248" s="83"/>
      <c r="I248" s="62" t="str">
        <f t="shared" si="10"/>
        <v/>
      </c>
      <c r="J248" s="62" t="str">
        <f t="shared" si="3"/>
        <v/>
      </c>
      <c r="K248" s="68" t="str">
        <f t="shared" si="11"/>
        <v/>
      </c>
      <c r="L248" s="64"/>
      <c r="M248" s="64"/>
      <c r="N248" s="64"/>
      <c r="O248" s="64"/>
      <c r="P248" s="4"/>
      <c r="Q248" s="4"/>
      <c r="R248" s="4"/>
      <c r="S248" s="4"/>
      <c r="T248" s="4"/>
      <c r="U248" s="4"/>
      <c r="V248" s="8">
        <f t="shared" si="12"/>
        <v>638194853313</v>
      </c>
      <c r="W248" s="5" t="str">
        <f t="shared" si="7"/>
        <v>nops</v>
      </c>
      <c r="X248" s="67"/>
      <c r="Y248" s="4"/>
      <c r="Z248" s="4"/>
      <c r="AA248" s="4"/>
    </row>
    <row r="249" ht="19.5" customHeight="1">
      <c r="A249" s="56" t="s">
        <v>28</v>
      </c>
      <c r="B249" s="57">
        <v>230.0</v>
      </c>
      <c r="C249" s="58">
        <f t="shared" si="8"/>
        <v>1059659374235</v>
      </c>
      <c r="D249" s="58">
        <f t="shared" si="9"/>
        <v>113534932954</v>
      </c>
      <c r="E249" s="59"/>
      <c r="F249" s="60" t="str">
        <f t="shared" si="1"/>
        <v>-</v>
      </c>
      <c r="G249" s="5" t="str">
        <f t="shared" si="2"/>
        <v>nops</v>
      </c>
      <c r="H249" s="83"/>
      <c r="I249" s="62" t="str">
        <f t="shared" si="10"/>
        <v/>
      </c>
      <c r="J249" s="62" t="str">
        <f t="shared" si="3"/>
        <v/>
      </c>
      <c r="K249" s="68" t="str">
        <f t="shared" si="11"/>
        <v/>
      </c>
      <c r="L249" s="64"/>
      <c r="M249" s="64"/>
      <c r="N249" s="64"/>
      <c r="O249" s="64"/>
      <c r="P249" s="4"/>
      <c r="Q249" s="4"/>
      <c r="R249" s="4"/>
      <c r="S249" s="4"/>
      <c r="T249" s="4"/>
      <c r="U249" s="4"/>
      <c r="V249" s="8">
        <f t="shared" si="12"/>
        <v>714778235710</v>
      </c>
      <c r="W249" s="5" t="str">
        <f t="shared" si="7"/>
        <v>nops</v>
      </c>
      <c r="X249" s="67"/>
      <c r="Y249" s="4"/>
      <c r="Z249" s="4"/>
      <c r="AA249" s="4"/>
    </row>
    <row r="250" ht="19.5" customHeight="1">
      <c r="A250" s="56" t="s">
        <v>28</v>
      </c>
      <c r="B250" s="57">
        <v>231.0</v>
      </c>
      <c r="C250" s="58">
        <f t="shared" si="8"/>
        <v>1186818499143</v>
      </c>
      <c r="D250" s="58">
        <f t="shared" si="9"/>
        <v>127159124908</v>
      </c>
      <c r="E250" s="59"/>
      <c r="F250" s="60" t="str">
        <f t="shared" si="1"/>
        <v>-</v>
      </c>
      <c r="G250" s="5" t="str">
        <f t="shared" si="2"/>
        <v>nops</v>
      </c>
      <c r="H250" s="83"/>
      <c r="I250" s="62" t="str">
        <f t="shared" si="10"/>
        <v/>
      </c>
      <c r="J250" s="62" t="str">
        <f t="shared" si="3"/>
        <v/>
      </c>
      <c r="K250" s="68" t="str">
        <f t="shared" si="11"/>
        <v/>
      </c>
      <c r="L250" s="64"/>
      <c r="M250" s="64"/>
      <c r="N250" s="64"/>
      <c r="O250" s="64"/>
      <c r="P250" s="4"/>
      <c r="Q250" s="4"/>
      <c r="R250" s="4"/>
      <c r="S250" s="4"/>
      <c r="T250" s="4"/>
      <c r="U250" s="4"/>
      <c r="V250" s="8">
        <f t="shared" si="12"/>
        <v>800551623996</v>
      </c>
      <c r="W250" s="5" t="str">
        <f t="shared" si="7"/>
        <v>nops</v>
      </c>
      <c r="X250" s="67"/>
      <c r="Y250" s="4"/>
      <c r="Z250" s="4"/>
      <c r="AA250" s="4"/>
    </row>
    <row r="251" ht="19.5" customHeight="1">
      <c r="A251" s="56" t="s">
        <v>28</v>
      </c>
      <c r="B251" s="57">
        <v>232.0</v>
      </c>
      <c r="C251" s="58">
        <f t="shared" si="8"/>
        <v>1329236719040</v>
      </c>
      <c r="D251" s="58">
        <f t="shared" si="9"/>
        <v>142418219897</v>
      </c>
      <c r="E251" s="59"/>
      <c r="F251" s="60" t="str">
        <f t="shared" si="1"/>
        <v>-</v>
      </c>
      <c r="G251" s="5" t="str">
        <f t="shared" si="2"/>
        <v>nops</v>
      </c>
      <c r="H251" s="83"/>
      <c r="I251" s="62" t="str">
        <f t="shared" si="10"/>
        <v/>
      </c>
      <c r="J251" s="62" t="str">
        <f t="shared" si="3"/>
        <v/>
      </c>
      <c r="K251" s="68" t="str">
        <f t="shared" si="11"/>
        <v/>
      </c>
      <c r="L251" s="64"/>
      <c r="M251" s="64"/>
      <c r="N251" s="64"/>
      <c r="O251" s="64"/>
      <c r="P251" s="4"/>
      <c r="Q251" s="4"/>
      <c r="R251" s="4"/>
      <c r="S251" s="4"/>
      <c r="T251" s="4"/>
      <c r="U251" s="4"/>
      <c r="V251" s="8">
        <f t="shared" si="12"/>
        <v>896617818875</v>
      </c>
      <c r="W251" s="5" t="str">
        <f t="shared" si="7"/>
        <v>nops</v>
      </c>
      <c r="X251" s="67"/>
      <c r="Y251" s="4"/>
      <c r="Z251" s="4"/>
      <c r="AA251" s="4"/>
    </row>
    <row r="252" ht="19.5" customHeight="1">
      <c r="A252" s="56" t="s">
        <v>28</v>
      </c>
      <c r="B252" s="57">
        <v>233.0</v>
      </c>
      <c r="C252" s="58">
        <f t="shared" si="8"/>
        <v>1488745125325</v>
      </c>
      <c r="D252" s="58">
        <f t="shared" si="9"/>
        <v>159508406285</v>
      </c>
      <c r="E252" s="59"/>
      <c r="F252" s="60" t="str">
        <f t="shared" si="1"/>
        <v>-</v>
      </c>
      <c r="G252" s="5" t="str">
        <f t="shared" si="2"/>
        <v>nops</v>
      </c>
      <c r="H252" s="83"/>
      <c r="I252" s="62" t="str">
        <f t="shared" si="10"/>
        <v/>
      </c>
      <c r="J252" s="62" t="str">
        <f t="shared" si="3"/>
        <v/>
      </c>
      <c r="K252" s="68" t="str">
        <f t="shared" si="11"/>
        <v/>
      </c>
      <c r="L252" s="64"/>
      <c r="M252" s="64"/>
      <c r="N252" s="64"/>
      <c r="O252" s="64"/>
      <c r="P252" s="4"/>
      <c r="Q252" s="4"/>
      <c r="R252" s="4"/>
      <c r="S252" s="4"/>
      <c r="T252" s="4"/>
      <c r="U252" s="4"/>
      <c r="V252" s="8">
        <f t="shared" si="12"/>
        <v>1004211957140</v>
      </c>
      <c r="W252" s="5" t="str">
        <f t="shared" si="7"/>
        <v>nops</v>
      </c>
      <c r="X252" s="67"/>
      <c r="Y252" s="4"/>
      <c r="Z252" s="4"/>
      <c r="AA252" s="4"/>
    </row>
    <row r="253" ht="19.5" customHeight="1">
      <c r="A253" s="56" t="s">
        <v>28</v>
      </c>
      <c r="B253" s="57">
        <v>234.0</v>
      </c>
      <c r="C253" s="58">
        <f t="shared" si="8"/>
        <v>1667394540364</v>
      </c>
      <c r="D253" s="58">
        <f t="shared" si="9"/>
        <v>178649415039</v>
      </c>
      <c r="E253" s="59"/>
      <c r="F253" s="60" t="str">
        <f t="shared" si="1"/>
        <v>-</v>
      </c>
      <c r="G253" s="5" t="str">
        <f t="shared" si="2"/>
        <v>nops</v>
      </c>
      <c r="H253" s="83"/>
      <c r="I253" s="62" t="str">
        <f t="shared" si="10"/>
        <v/>
      </c>
      <c r="J253" s="62" t="str">
        <f t="shared" si="3"/>
        <v/>
      </c>
      <c r="K253" s="68" t="str">
        <f t="shared" si="11"/>
        <v/>
      </c>
      <c r="L253" s="64"/>
      <c r="M253" s="64"/>
      <c r="N253" s="64"/>
      <c r="O253" s="64"/>
      <c r="P253" s="4"/>
      <c r="Q253" s="4"/>
      <c r="R253" s="4"/>
      <c r="S253" s="4"/>
      <c r="T253" s="4"/>
      <c r="U253" s="4"/>
      <c r="V253" s="8">
        <f t="shared" si="12"/>
        <v>1124717391997</v>
      </c>
      <c r="W253" s="5" t="str">
        <f t="shared" si="7"/>
        <v>nops</v>
      </c>
      <c r="X253" s="67"/>
      <c r="Y253" s="4"/>
      <c r="Z253" s="4"/>
      <c r="AA253" s="4"/>
    </row>
    <row r="254" ht="19.5" customHeight="1">
      <c r="A254" s="56" t="s">
        <v>28</v>
      </c>
      <c r="B254" s="57">
        <v>235.0</v>
      </c>
      <c r="C254" s="58">
        <f t="shared" si="8"/>
        <v>1867481885208</v>
      </c>
      <c r="D254" s="58">
        <f t="shared" si="9"/>
        <v>200087344844</v>
      </c>
      <c r="E254" s="59"/>
      <c r="F254" s="60" t="str">
        <f t="shared" si="1"/>
        <v>-</v>
      </c>
      <c r="G254" s="5" t="str">
        <f t="shared" si="2"/>
        <v>nops</v>
      </c>
      <c r="H254" s="83"/>
      <c r="I254" s="62" t="str">
        <f t="shared" si="10"/>
        <v/>
      </c>
      <c r="J254" s="62" t="str">
        <f t="shared" si="3"/>
        <v/>
      </c>
      <c r="K254" s="68" t="str">
        <f t="shared" si="11"/>
        <v/>
      </c>
      <c r="L254" s="64"/>
      <c r="M254" s="64"/>
      <c r="N254" s="64"/>
      <c r="O254" s="64"/>
      <c r="P254" s="4"/>
      <c r="Q254" s="4"/>
      <c r="R254" s="4"/>
      <c r="S254" s="4"/>
      <c r="T254" s="4"/>
      <c r="U254" s="4"/>
      <c r="V254" s="8">
        <f t="shared" si="12"/>
        <v>1259683479037</v>
      </c>
      <c r="W254" s="5" t="str">
        <f t="shared" si="7"/>
        <v>nops</v>
      </c>
      <c r="X254" s="67"/>
      <c r="Y254" s="4"/>
      <c r="Z254" s="4"/>
      <c r="AA254" s="4"/>
    </row>
    <row r="255" ht="19.5" customHeight="1">
      <c r="A255" s="56" t="s">
        <v>28</v>
      </c>
      <c r="B255" s="57">
        <v>236.0</v>
      </c>
      <c r="C255" s="58">
        <f t="shared" si="8"/>
        <v>2091579711433</v>
      </c>
      <c r="D255" s="58">
        <f t="shared" si="9"/>
        <v>224097826225</v>
      </c>
      <c r="E255" s="59"/>
      <c r="F255" s="60" t="str">
        <f t="shared" si="1"/>
        <v>-</v>
      </c>
      <c r="G255" s="5" t="str">
        <f t="shared" si="2"/>
        <v>nops</v>
      </c>
      <c r="H255" s="83"/>
      <c r="I255" s="62" t="str">
        <f t="shared" si="10"/>
        <v/>
      </c>
      <c r="J255" s="62" t="str">
        <f t="shared" si="3"/>
        <v/>
      </c>
      <c r="K255" s="68" t="str">
        <f t="shared" si="11"/>
        <v/>
      </c>
      <c r="L255" s="64"/>
      <c r="M255" s="64"/>
      <c r="N255" s="64"/>
      <c r="O255" s="64"/>
      <c r="P255" s="4"/>
      <c r="Q255" s="4"/>
      <c r="R255" s="4"/>
      <c r="S255" s="4"/>
      <c r="T255" s="4"/>
      <c r="U255" s="4"/>
      <c r="V255" s="8">
        <f t="shared" si="12"/>
        <v>1410845496521</v>
      </c>
      <c r="W255" s="5" t="str">
        <f t="shared" si="7"/>
        <v>nops</v>
      </c>
      <c r="X255" s="67"/>
      <c r="Y255" s="4"/>
      <c r="Z255" s="4"/>
      <c r="AA255" s="4"/>
    </row>
    <row r="256" ht="19.5" customHeight="1">
      <c r="A256" s="56" t="s">
        <v>28</v>
      </c>
      <c r="B256" s="57">
        <v>237.0</v>
      </c>
      <c r="C256" s="58">
        <f t="shared" si="8"/>
        <v>2342569276805</v>
      </c>
      <c r="D256" s="58">
        <f t="shared" si="9"/>
        <v>250989565372</v>
      </c>
      <c r="E256" s="59"/>
      <c r="F256" s="60" t="str">
        <f t="shared" si="1"/>
        <v>-</v>
      </c>
      <c r="G256" s="5" t="str">
        <f t="shared" si="2"/>
        <v>nops</v>
      </c>
      <c r="H256" s="83"/>
      <c r="I256" s="62" t="str">
        <f t="shared" si="10"/>
        <v/>
      </c>
      <c r="J256" s="62" t="str">
        <f t="shared" si="3"/>
        <v/>
      </c>
      <c r="K256" s="68" t="str">
        <f t="shared" si="11"/>
        <v/>
      </c>
      <c r="L256" s="64"/>
      <c r="M256" s="64"/>
      <c r="N256" s="64"/>
      <c r="O256" s="64"/>
      <c r="P256" s="4"/>
      <c r="Q256" s="4"/>
      <c r="R256" s="4"/>
      <c r="S256" s="4"/>
      <c r="T256" s="4"/>
      <c r="U256" s="4"/>
      <c r="V256" s="8">
        <f t="shared" si="12"/>
        <v>1580146956103</v>
      </c>
      <c r="W256" s="5" t="str">
        <f t="shared" si="7"/>
        <v>nops</v>
      </c>
      <c r="X256" s="67"/>
      <c r="Y256" s="4"/>
      <c r="Z256" s="4"/>
      <c r="AA256" s="4"/>
    </row>
    <row r="257" ht="19.5" customHeight="1">
      <c r="A257" s="56" t="s">
        <v>28</v>
      </c>
      <c r="B257" s="57">
        <v>238.0</v>
      </c>
      <c r="C257" s="58">
        <f t="shared" si="8"/>
        <v>2623677590021</v>
      </c>
      <c r="D257" s="58">
        <f t="shared" si="9"/>
        <v>281108313217</v>
      </c>
      <c r="E257" s="59"/>
      <c r="F257" s="60" t="str">
        <f t="shared" si="1"/>
        <v>-</v>
      </c>
      <c r="G257" s="5" t="str">
        <f t="shared" si="2"/>
        <v>nops</v>
      </c>
      <c r="H257" s="83"/>
      <c r="I257" s="62" t="str">
        <f t="shared" si="10"/>
        <v/>
      </c>
      <c r="J257" s="62" t="str">
        <f t="shared" si="3"/>
        <v/>
      </c>
      <c r="K257" s="68" t="str">
        <f t="shared" si="11"/>
        <v/>
      </c>
      <c r="L257" s="64"/>
      <c r="M257" s="64"/>
      <c r="N257" s="64"/>
      <c r="O257" s="64"/>
      <c r="P257" s="4"/>
      <c r="Q257" s="4"/>
      <c r="R257" s="4"/>
      <c r="S257" s="4"/>
      <c r="T257" s="4"/>
      <c r="U257" s="4"/>
      <c r="V257" s="8">
        <f t="shared" si="12"/>
        <v>1769764590836</v>
      </c>
      <c r="W257" s="5" t="str">
        <f t="shared" si="7"/>
        <v>nops</v>
      </c>
      <c r="X257" s="67"/>
      <c r="Y257" s="4"/>
      <c r="Z257" s="4"/>
      <c r="AA257" s="4"/>
    </row>
    <row r="258" ht="19.5" customHeight="1">
      <c r="A258" s="56" t="s">
        <v>28</v>
      </c>
      <c r="B258" s="57">
        <v>239.0</v>
      </c>
      <c r="C258" s="58">
        <f t="shared" si="8"/>
        <v>2938518900824</v>
      </c>
      <c r="D258" s="58">
        <f t="shared" si="9"/>
        <v>314841310803</v>
      </c>
      <c r="E258" s="59"/>
      <c r="F258" s="60" t="str">
        <f t="shared" si="1"/>
        <v>-</v>
      </c>
      <c r="G258" s="5" t="str">
        <f t="shared" si="2"/>
        <v>nops</v>
      </c>
      <c r="H258" s="83"/>
      <c r="I258" s="62" t="str">
        <f t="shared" si="10"/>
        <v/>
      </c>
      <c r="J258" s="62" t="str">
        <f t="shared" si="3"/>
        <v/>
      </c>
      <c r="K258" s="68" t="str">
        <f t="shared" si="11"/>
        <v/>
      </c>
      <c r="L258" s="64"/>
      <c r="M258" s="64"/>
      <c r="N258" s="64"/>
      <c r="O258" s="64"/>
      <c r="P258" s="4"/>
      <c r="Q258" s="4"/>
      <c r="R258" s="4"/>
      <c r="S258" s="4"/>
      <c r="T258" s="4"/>
      <c r="U258" s="4"/>
      <c r="V258" s="8">
        <f t="shared" si="12"/>
        <v>1982136341736</v>
      </c>
      <c r="W258" s="5" t="str">
        <f t="shared" si="7"/>
        <v>nops</v>
      </c>
      <c r="X258" s="67"/>
      <c r="Y258" s="4"/>
      <c r="Z258" s="4"/>
      <c r="AA258" s="4"/>
    </row>
    <row r="259" ht="19.5" customHeight="1">
      <c r="A259" s="56" t="s">
        <v>28</v>
      </c>
      <c r="B259" s="57">
        <v>240.0</v>
      </c>
      <c r="C259" s="58">
        <f t="shared" si="8"/>
        <v>3291141168923</v>
      </c>
      <c r="D259" s="58">
        <f t="shared" si="9"/>
        <v>352622268099</v>
      </c>
      <c r="E259" s="59"/>
      <c r="F259" s="60" t="str">
        <f t="shared" si="1"/>
        <v>-</v>
      </c>
      <c r="G259" s="5" t="str">
        <f t="shared" si="2"/>
        <v>nops</v>
      </c>
      <c r="H259" s="83"/>
      <c r="I259" s="62" t="str">
        <f t="shared" si="10"/>
        <v/>
      </c>
      <c r="J259" s="62" t="str">
        <f t="shared" si="3"/>
        <v/>
      </c>
      <c r="K259" s="68" t="str">
        <f t="shared" si="11"/>
        <v/>
      </c>
      <c r="L259" s="64"/>
      <c r="M259" s="64"/>
      <c r="N259" s="64"/>
      <c r="O259" s="64"/>
      <c r="P259" s="4"/>
      <c r="Q259" s="4"/>
      <c r="R259" s="4"/>
      <c r="S259" s="4"/>
      <c r="T259" s="4"/>
      <c r="U259" s="4"/>
      <c r="V259" s="8">
        <f t="shared" si="12"/>
        <v>2219992702744</v>
      </c>
      <c r="W259" s="5" t="str">
        <f t="shared" si="7"/>
        <v>nops</v>
      </c>
      <c r="X259" s="67"/>
      <c r="Y259" s="4"/>
      <c r="Z259" s="4"/>
      <c r="AA259" s="4"/>
    </row>
    <row r="260" ht="19.5" customHeight="1">
      <c r="A260" s="56" t="s">
        <v>28</v>
      </c>
      <c r="B260" s="57">
        <v>241.0</v>
      </c>
      <c r="C260" s="58">
        <f t="shared" si="8"/>
        <v>3686078109193</v>
      </c>
      <c r="D260" s="58">
        <f t="shared" si="9"/>
        <v>394936940271</v>
      </c>
      <c r="E260" s="59"/>
      <c r="F260" s="60" t="str">
        <f t="shared" si="1"/>
        <v>-</v>
      </c>
      <c r="G260" s="5" t="str">
        <f t="shared" si="2"/>
        <v>nops</v>
      </c>
      <c r="H260" s="83"/>
      <c r="I260" s="62" t="str">
        <f t="shared" si="10"/>
        <v/>
      </c>
      <c r="J260" s="62" t="str">
        <f t="shared" si="3"/>
        <v/>
      </c>
      <c r="K260" s="68" t="str">
        <f t="shared" si="11"/>
        <v/>
      </c>
      <c r="L260" s="64"/>
      <c r="M260" s="64"/>
      <c r="N260" s="64"/>
      <c r="O260" s="64"/>
      <c r="P260" s="4"/>
      <c r="Q260" s="4"/>
      <c r="R260" s="4"/>
      <c r="S260" s="4"/>
      <c r="T260" s="4"/>
      <c r="U260" s="4"/>
      <c r="V260" s="8">
        <f t="shared" si="12"/>
        <v>2486391827074</v>
      </c>
      <c r="W260" s="5" t="str">
        <f t="shared" si="7"/>
        <v>nops</v>
      </c>
      <c r="X260" s="67"/>
      <c r="Y260" s="4"/>
      <c r="Z260" s="4"/>
      <c r="AA260" s="4"/>
    </row>
    <row r="261" ht="19.5" customHeight="1">
      <c r="A261" s="56" t="s">
        <v>28</v>
      </c>
      <c r="B261" s="57">
        <v>242.0</v>
      </c>
      <c r="C261" s="58">
        <f t="shared" si="8"/>
        <v>4128407482297</v>
      </c>
      <c r="D261" s="58">
        <f t="shared" si="9"/>
        <v>442329373103</v>
      </c>
      <c r="E261" s="59"/>
      <c r="F261" s="60" t="str">
        <f t="shared" si="1"/>
        <v>-</v>
      </c>
      <c r="G261" s="5" t="str">
        <f t="shared" si="2"/>
        <v>nops</v>
      </c>
      <c r="H261" s="83"/>
      <c r="I261" s="62" t="str">
        <f t="shared" si="10"/>
        <v/>
      </c>
      <c r="J261" s="62" t="str">
        <f t="shared" si="3"/>
        <v/>
      </c>
      <c r="K261" s="68" t="str">
        <f t="shared" si="11"/>
        <v/>
      </c>
      <c r="L261" s="64"/>
      <c r="M261" s="64"/>
      <c r="N261" s="64"/>
      <c r="O261" s="64"/>
      <c r="P261" s="4"/>
      <c r="Q261" s="4"/>
      <c r="R261" s="4"/>
      <c r="S261" s="4"/>
      <c r="T261" s="4"/>
      <c r="U261" s="4"/>
      <c r="V261" s="8">
        <f t="shared" si="12"/>
        <v>2784758846323</v>
      </c>
      <c r="W261" s="5" t="str">
        <f t="shared" si="7"/>
        <v>nops</v>
      </c>
      <c r="X261" s="67"/>
      <c r="Y261" s="4"/>
      <c r="Z261" s="4"/>
      <c r="AA261" s="4"/>
    </row>
    <row r="262" ht="19.5" customHeight="1">
      <c r="A262" s="56" t="s">
        <v>28</v>
      </c>
      <c r="B262" s="57">
        <v>243.0</v>
      </c>
      <c r="C262" s="58">
        <f t="shared" si="8"/>
        <v>4623816380172</v>
      </c>
      <c r="D262" s="58">
        <f t="shared" si="9"/>
        <v>495408897876</v>
      </c>
      <c r="E262" s="59"/>
      <c r="F262" s="60" t="str">
        <f t="shared" si="1"/>
        <v>-</v>
      </c>
      <c r="G262" s="5" t="str">
        <f t="shared" si="2"/>
        <v>nops</v>
      </c>
      <c r="H262" s="83"/>
      <c r="I262" s="62" t="str">
        <f t="shared" si="10"/>
        <v/>
      </c>
      <c r="J262" s="62" t="str">
        <f t="shared" si="3"/>
        <v/>
      </c>
      <c r="K262" s="68" t="str">
        <f t="shared" si="11"/>
        <v/>
      </c>
      <c r="L262" s="64"/>
      <c r="M262" s="64"/>
      <c r="N262" s="64"/>
      <c r="O262" s="64"/>
      <c r="P262" s="4"/>
      <c r="Q262" s="4"/>
      <c r="R262" s="4"/>
      <c r="S262" s="4"/>
      <c r="T262" s="4"/>
      <c r="U262" s="4"/>
      <c r="V262" s="8">
        <f t="shared" si="12"/>
        <v>3118929907881</v>
      </c>
      <c r="W262" s="5" t="str">
        <f t="shared" si="7"/>
        <v>nops</v>
      </c>
      <c r="X262" s="67"/>
      <c r="Y262" s="4"/>
      <c r="Z262" s="4"/>
      <c r="AA262" s="4"/>
    </row>
    <row r="263" ht="19.5" customHeight="1">
      <c r="A263" s="56" t="s">
        <v>28</v>
      </c>
      <c r="B263" s="57">
        <v>244.0</v>
      </c>
      <c r="C263" s="58">
        <f t="shared" si="8"/>
        <v>5178674345793</v>
      </c>
      <c r="D263" s="58">
        <f t="shared" si="9"/>
        <v>554857965621</v>
      </c>
      <c r="E263" s="59"/>
      <c r="F263" s="60" t="str">
        <f t="shared" si="1"/>
        <v>-</v>
      </c>
      <c r="G263" s="5" t="str">
        <f t="shared" si="2"/>
        <v>nops</v>
      </c>
      <c r="H263" s="83"/>
      <c r="I263" s="62" t="str">
        <f t="shared" si="10"/>
        <v/>
      </c>
      <c r="J263" s="62" t="str">
        <f t="shared" si="3"/>
        <v/>
      </c>
      <c r="K263" s="68" t="str">
        <f t="shared" si="11"/>
        <v/>
      </c>
      <c r="L263" s="64"/>
      <c r="M263" s="64"/>
      <c r="N263" s="64"/>
      <c r="O263" s="64"/>
      <c r="P263" s="4"/>
      <c r="Q263" s="4"/>
      <c r="R263" s="4"/>
      <c r="S263" s="4"/>
      <c r="T263" s="4"/>
      <c r="U263" s="4"/>
      <c r="V263" s="8">
        <f t="shared" si="12"/>
        <v>3493201496827</v>
      </c>
      <c r="W263" s="5" t="str">
        <f t="shared" si="7"/>
        <v>nops</v>
      </c>
      <c r="X263" s="67"/>
      <c r="Y263" s="4"/>
      <c r="Z263" s="4"/>
      <c r="AA263" s="4"/>
    </row>
    <row r="264" ht="19.5" customHeight="1">
      <c r="A264" s="56" t="s">
        <v>28</v>
      </c>
      <c r="B264" s="57">
        <v>245.0</v>
      </c>
      <c r="C264" s="58">
        <f t="shared" si="8"/>
        <v>5800115267288</v>
      </c>
      <c r="D264" s="58">
        <f t="shared" si="9"/>
        <v>621440921495</v>
      </c>
      <c r="E264" s="59"/>
      <c r="F264" s="60" t="str">
        <f t="shared" si="1"/>
        <v>-</v>
      </c>
      <c r="G264" s="5" t="str">
        <f t="shared" si="2"/>
        <v>nops</v>
      </c>
      <c r="H264" s="83"/>
      <c r="I264" s="62" t="str">
        <f t="shared" si="10"/>
        <v/>
      </c>
      <c r="J264" s="62" t="str">
        <f t="shared" si="3"/>
        <v/>
      </c>
      <c r="K264" s="68" t="str">
        <f t="shared" si="11"/>
        <v/>
      </c>
      <c r="L264" s="64"/>
      <c r="M264" s="64"/>
      <c r="N264" s="64"/>
      <c r="O264" s="64"/>
      <c r="P264" s="4"/>
      <c r="Q264" s="4"/>
      <c r="R264" s="4"/>
      <c r="S264" s="4"/>
      <c r="T264" s="4"/>
      <c r="U264" s="4"/>
      <c r="V264" s="8">
        <f t="shared" si="12"/>
        <v>3912385676446</v>
      </c>
      <c r="W264" s="5" t="str">
        <f t="shared" si="7"/>
        <v>nops</v>
      </c>
      <c r="X264" s="67"/>
      <c r="Y264" s="4"/>
      <c r="Z264" s="4"/>
      <c r="AA264" s="4"/>
    </row>
    <row r="265" ht="19.5" customHeight="1">
      <c r="A265" s="56" t="s">
        <v>28</v>
      </c>
      <c r="B265" s="57">
        <v>246.0</v>
      </c>
      <c r="C265" s="58">
        <f t="shared" si="8"/>
        <v>6496129099363</v>
      </c>
      <c r="D265" s="58">
        <f t="shared" si="9"/>
        <v>696013832075</v>
      </c>
      <c r="E265" s="59"/>
      <c r="F265" s="60" t="str">
        <f t="shared" si="1"/>
        <v>-</v>
      </c>
      <c r="G265" s="5" t="str">
        <f t="shared" si="2"/>
        <v>nops</v>
      </c>
      <c r="H265" s="83"/>
      <c r="I265" s="62" t="str">
        <f t="shared" si="10"/>
        <v/>
      </c>
      <c r="J265" s="62" t="str">
        <f t="shared" si="3"/>
        <v/>
      </c>
      <c r="K265" s="68" t="str">
        <f t="shared" si="11"/>
        <v/>
      </c>
      <c r="L265" s="64"/>
      <c r="M265" s="64"/>
      <c r="N265" s="64"/>
      <c r="O265" s="64"/>
      <c r="P265" s="4"/>
      <c r="Q265" s="4"/>
      <c r="R265" s="4"/>
      <c r="S265" s="4"/>
      <c r="T265" s="4"/>
      <c r="U265" s="4"/>
      <c r="V265" s="8">
        <f t="shared" si="12"/>
        <v>4381871957620</v>
      </c>
      <c r="W265" s="5" t="str">
        <f t="shared" si="7"/>
        <v>nops</v>
      </c>
      <c r="X265" s="67"/>
      <c r="Y265" s="4"/>
      <c r="Z265" s="4"/>
      <c r="AA265" s="4"/>
    </row>
    <row r="266" ht="19.5" customHeight="1">
      <c r="A266" s="56" t="s">
        <v>28</v>
      </c>
      <c r="B266" s="57">
        <v>247.0</v>
      </c>
      <c r="C266" s="58">
        <f t="shared" si="8"/>
        <v>7275664591286</v>
      </c>
      <c r="D266" s="58">
        <f t="shared" si="9"/>
        <v>779535491924</v>
      </c>
      <c r="E266" s="59"/>
      <c r="F266" s="60" t="str">
        <f t="shared" si="1"/>
        <v>-</v>
      </c>
      <c r="G266" s="5" t="str">
        <f t="shared" si="2"/>
        <v>nops</v>
      </c>
      <c r="H266" s="83"/>
      <c r="I266" s="62" t="str">
        <f t="shared" si="10"/>
        <v/>
      </c>
      <c r="J266" s="62" t="str">
        <f t="shared" si="3"/>
        <v/>
      </c>
      <c r="K266" s="68" t="str">
        <f t="shared" si="11"/>
        <v/>
      </c>
      <c r="L266" s="64"/>
      <c r="M266" s="64"/>
      <c r="N266" s="64"/>
      <c r="O266" s="64"/>
      <c r="P266" s="4"/>
      <c r="Q266" s="4"/>
      <c r="R266" s="4"/>
      <c r="S266" s="4"/>
      <c r="T266" s="4"/>
      <c r="U266" s="4"/>
      <c r="V266" s="8">
        <f t="shared" si="12"/>
        <v>4907696592534</v>
      </c>
      <c r="W266" s="5" t="str">
        <f t="shared" si="7"/>
        <v>nops</v>
      </c>
      <c r="X266" s="67"/>
      <c r="Y266" s="4"/>
      <c r="Z266" s="4"/>
      <c r="AA266" s="4"/>
    </row>
    <row r="267" ht="19.5" customHeight="1">
      <c r="A267" s="56" t="s">
        <v>28</v>
      </c>
      <c r="B267" s="57">
        <v>248.0</v>
      </c>
      <c r="C267" s="58">
        <f t="shared" si="8"/>
        <v>8148744342241</v>
      </c>
      <c r="D267" s="58">
        <f t="shared" si="9"/>
        <v>873079750954</v>
      </c>
      <c r="E267" s="59"/>
      <c r="F267" s="60" t="str">
        <f t="shared" si="1"/>
        <v>-</v>
      </c>
      <c r="G267" s="5" t="str">
        <f t="shared" si="2"/>
        <v>nops</v>
      </c>
      <c r="H267" s="83"/>
      <c r="I267" s="62" t="str">
        <f t="shared" si="10"/>
        <v/>
      </c>
      <c r="J267" s="62" t="str">
        <f t="shared" si="3"/>
        <v/>
      </c>
      <c r="K267" s="68" t="str">
        <f t="shared" si="11"/>
        <v/>
      </c>
      <c r="L267" s="64"/>
      <c r="M267" s="64"/>
      <c r="N267" s="64"/>
      <c r="O267" s="64"/>
      <c r="P267" s="4"/>
      <c r="Q267" s="4"/>
      <c r="R267" s="4"/>
      <c r="S267" s="4"/>
      <c r="T267" s="4"/>
      <c r="U267" s="4"/>
      <c r="V267" s="8">
        <f t="shared" si="12"/>
        <v>5496620183638</v>
      </c>
      <c r="W267" s="5" t="str">
        <f t="shared" si="7"/>
        <v>nops</v>
      </c>
      <c r="X267" s="67"/>
      <c r="Y267" s="4"/>
      <c r="Z267" s="4"/>
      <c r="AA267" s="4"/>
    </row>
    <row r="268" ht="19.5" customHeight="1">
      <c r="A268" s="56" t="s">
        <v>28</v>
      </c>
      <c r="B268" s="57">
        <v>249.0</v>
      </c>
      <c r="C268" s="58">
        <f t="shared" si="8"/>
        <v>9126593663309</v>
      </c>
      <c r="D268" s="58">
        <f t="shared" si="9"/>
        <v>977849321069</v>
      </c>
      <c r="E268" s="59"/>
      <c r="F268" s="60" t="str">
        <f t="shared" si="1"/>
        <v>-</v>
      </c>
      <c r="G268" s="5" t="str">
        <f t="shared" si="2"/>
        <v>nops</v>
      </c>
      <c r="H268" s="83"/>
      <c r="I268" s="62" t="str">
        <f t="shared" si="10"/>
        <v/>
      </c>
      <c r="J268" s="62" t="str">
        <f t="shared" si="3"/>
        <v/>
      </c>
      <c r="K268" s="68" t="str">
        <f t="shared" si="11"/>
        <v/>
      </c>
      <c r="L268" s="64"/>
      <c r="M268" s="64"/>
      <c r="N268" s="64"/>
      <c r="O268" s="64"/>
      <c r="P268" s="4"/>
      <c r="Q268" s="4"/>
      <c r="R268" s="4"/>
      <c r="S268" s="4"/>
      <c r="T268" s="4"/>
      <c r="U268" s="4"/>
      <c r="V268" s="8">
        <f t="shared" si="12"/>
        <v>6156214605675</v>
      </c>
      <c r="W268" s="5" t="str">
        <f t="shared" si="7"/>
        <v>nops</v>
      </c>
      <c r="X268" s="67"/>
      <c r="Y268" s="4"/>
      <c r="Z268" s="4"/>
      <c r="AA268" s="4"/>
    </row>
    <row r="269" ht="19.5" customHeight="1">
      <c r="A269" s="56" t="s">
        <v>28</v>
      </c>
      <c r="B269" s="57">
        <v>250.0</v>
      </c>
      <c r="C269" s="58">
        <f t="shared" si="8"/>
        <v>10221784902907</v>
      </c>
      <c r="D269" s="58">
        <f t="shared" si="9"/>
        <v>1095191239597</v>
      </c>
      <c r="E269" s="59"/>
      <c r="F269" s="60" t="str">
        <f t="shared" si="1"/>
        <v>-</v>
      </c>
      <c r="G269" s="5" t="str">
        <f t="shared" si="2"/>
        <v>nops</v>
      </c>
      <c r="H269" s="83"/>
      <c r="I269" s="62" t="str">
        <f t="shared" si="10"/>
        <v/>
      </c>
      <c r="J269" s="62" t="str">
        <f t="shared" si="3"/>
        <v/>
      </c>
      <c r="K269" s="68" t="str">
        <f t="shared" si="11"/>
        <v/>
      </c>
      <c r="L269" s="64"/>
      <c r="M269" s="64"/>
      <c r="N269" s="64"/>
      <c r="O269" s="64"/>
      <c r="P269" s="4"/>
      <c r="Q269" s="4"/>
      <c r="R269" s="4"/>
      <c r="S269" s="4"/>
      <c r="T269" s="4"/>
      <c r="U269" s="4"/>
      <c r="V269" s="8">
        <f t="shared" si="12"/>
        <v>6894960358356</v>
      </c>
      <c r="W269" s="5" t="str">
        <f t="shared" si="7"/>
        <v>nops</v>
      </c>
      <c r="X269" s="67"/>
      <c r="Y269" s="4"/>
      <c r="Z269" s="4"/>
      <c r="AA269" s="4"/>
    </row>
    <row r="270" ht="19.5" customHeight="1">
      <c r="A270" s="56" t="s">
        <v>28</v>
      </c>
      <c r="B270" s="57">
        <v>251.0</v>
      </c>
      <c r="C270" s="58">
        <f t="shared" si="8"/>
        <v>11448399091255</v>
      </c>
      <c r="D270" s="58">
        <f t="shared" si="9"/>
        <v>1226614188349</v>
      </c>
      <c r="E270" s="59"/>
      <c r="F270" s="60" t="str">
        <f t="shared" si="1"/>
        <v>-</v>
      </c>
      <c r="G270" s="5" t="str">
        <f t="shared" si="2"/>
        <v>nops</v>
      </c>
      <c r="H270" s="83"/>
      <c r="I270" s="62" t="str">
        <f t="shared" si="10"/>
        <v/>
      </c>
      <c r="J270" s="62" t="str">
        <f t="shared" si="3"/>
        <v/>
      </c>
      <c r="K270" s="68" t="str">
        <f t="shared" si="11"/>
        <v/>
      </c>
      <c r="L270" s="64"/>
      <c r="M270" s="64"/>
      <c r="N270" s="64"/>
      <c r="O270" s="64"/>
      <c r="P270" s="4"/>
      <c r="Q270" s="4"/>
      <c r="R270" s="4"/>
      <c r="S270" s="4"/>
      <c r="T270" s="4"/>
      <c r="U270" s="4"/>
      <c r="V270" s="8">
        <f t="shared" si="12"/>
        <v>7722355601359</v>
      </c>
      <c r="W270" s="5" t="str">
        <f t="shared" si="7"/>
        <v>nops</v>
      </c>
      <c r="X270" s="67"/>
      <c r="Y270" s="4"/>
      <c r="Z270" s="4"/>
      <c r="AA270" s="4"/>
    </row>
    <row r="271" ht="19.5" customHeight="1">
      <c r="A271" s="56" t="s">
        <v>28</v>
      </c>
      <c r="B271" s="57">
        <v>252.0</v>
      </c>
      <c r="C271" s="58">
        <f t="shared" si="8"/>
        <v>12822206982206</v>
      </c>
      <c r="D271" s="58">
        <f t="shared" si="9"/>
        <v>1373807890951</v>
      </c>
      <c r="E271" s="59"/>
      <c r="F271" s="60" t="str">
        <f t="shared" si="1"/>
        <v>-</v>
      </c>
      <c r="G271" s="5" t="str">
        <f t="shared" si="2"/>
        <v>nops</v>
      </c>
      <c r="H271" s="83"/>
      <c r="I271" s="62" t="str">
        <f t="shared" si="10"/>
        <v/>
      </c>
      <c r="J271" s="62" t="str">
        <f t="shared" si="3"/>
        <v/>
      </c>
      <c r="K271" s="68" t="str">
        <f t="shared" si="11"/>
        <v/>
      </c>
      <c r="L271" s="64"/>
      <c r="M271" s="64"/>
      <c r="N271" s="64"/>
      <c r="O271" s="64"/>
      <c r="P271" s="4"/>
      <c r="Q271" s="4"/>
      <c r="R271" s="4"/>
      <c r="S271" s="4"/>
      <c r="T271" s="4"/>
      <c r="U271" s="4"/>
      <c r="V271" s="8">
        <f t="shared" si="12"/>
        <v>8649038273522</v>
      </c>
      <c r="W271" s="5" t="str">
        <f t="shared" si="7"/>
        <v>nops</v>
      </c>
      <c r="X271" s="67"/>
      <c r="Y271" s="4"/>
      <c r="Z271" s="4"/>
      <c r="AA271" s="4"/>
    </row>
    <row r="272" ht="19.5" customHeight="1">
      <c r="A272" s="56" t="s">
        <v>28</v>
      </c>
      <c r="B272" s="57">
        <v>253.0</v>
      </c>
      <c r="C272" s="58">
        <f t="shared" si="8"/>
        <v>14360871820071</v>
      </c>
      <c r="D272" s="58">
        <f t="shared" si="9"/>
        <v>1538664837865</v>
      </c>
      <c r="E272" s="59"/>
      <c r="F272" s="60" t="str">
        <f t="shared" si="1"/>
        <v>-</v>
      </c>
      <c r="G272" s="5" t="str">
        <f t="shared" si="2"/>
        <v>nops</v>
      </c>
      <c r="H272" s="83"/>
      <c r="I272" s="62" t="str">
        <f t="shared" si="10"/>
        <v/>
      </c>
      <c r="J272" s="62" t="str">
        <f t="shared" si="3"/>
        <v/>
      </c>
      <c r="K272" s="68" t="str">
        <f t="shared" si="11"/>
        <v/>
      </c>
      <c r="L272" s="64"/>
      <c r="M272" s="64"/>
      <c r="N272" s="64"/>
      <c r="O272" s="64"/>
      <c r="P272" s="4"/>
      <c r="Q272" s="4"/>
      <c r="R272" s="4"/>
      <c r="S272" s="4"/>
      <c r="T272" s="4"/>
      <c r="U272" s="4"/>
      <c r="V272" s="8">
        <f t="shared" si="12"/>
        <v>9686922866344</v>
      </c>
      <c r="W272" s="5" t="str">
        <f t="shared" si="7"/>
        <v>nops</v>
      </c>
      <c r="X272" s="67"/>
      <c r="Y272" s="4"/>
      <c r="Z272" s="4"/>
      <c r="AA272" s="4"/>
    </row>
    <row r="273" ht="19.5" customHeight="1">
      <c r="A273" s="56" t="s">
        <v>28</v>
      </c>
      <c r="B273" s="57">
        <v>254.0</v>
      </c>
      <c r="C273" s="58">
        <f t="shared" si="8"/>
        <v>16084176438479</v>
      </c>
      <c r="D273" s="58">
        <f t="shared" si="9"/>
        <v>1723304618408</v>
      </c>
      <c r="E273" s="59"/>
      <c r="F273" s="60" t="str">
        <f t="shared" si="1"/>
        <v>-</v>
      </c>
      <c r="G273" s="5" t="str">
        <f t="shared" si="2"/>
        <v>nops</v>
      </c>
      <c r="H273" s="83"/>
      <c r="I273" s="62" t="str">
        <f t="shared" si="10"/>
        <v/>
      </c>
      <c r="J273" s="62" t="str">
        <f t="shared" si="3"/>
        <v/>
      </c>
      <c r="K273" s="68" t="str">
        <f t="shared" si="11"/>
        <v/>
      </c>
      <c r="L273" s="64"/>
      <c r="M273" s="64"/>
      <c r="N273" s="64"/>
      <c r="O273" s="64"/>
      <c r="P273" s="4"/>
      <c r="Q273" s="4"/>
      <c r="R273" s="4"/>
      <c r="S273" s="4"/>
      <c r="T273" s="4"/>
      <c r="U273" s="4"/>
      <c r="V273" s="8">
        <f t="shared" si="12"/>
        <v>10849353610306</v>
      </c>
      <c r="W273" s="5" t="str">
        <f t="shared" si="7"/>
        <v>nops</v>
      </c>
      <c r="X273" s="67"/>
      <c r="Y273" s="4"/>
      <c r="Z273" s="4"/>
      <c r="AA273" s="4"/>
    </row>
    <row r="274" ht="19.5" customHeight="1">
      <c r="A274" s="56" t="s">
        <v>28</v>
      </c>
      <c r="B274" s="57">
        <v>255.0</v>
      </c>
      <c r="C274" s="58">
        <f t="shared" si="8"/>
        <v>18014277611097</v>
      </c>
      <c r="D274" s="58">
        <f t="shared" si="9"/>
        <v>1930101172617</v>
      </c>
      <c r="E274" s="59"/>
      <c r="F274" s="60" t="str">
        <f t="shared" si="1"/>
        <v>-</v>
      </c>
      <c r="G274" s="5" t="str">
        <f t="shared" si="2"/>
        <v>nops</v>
      </c>
      <c r="H274" s="83"/>
      <c r="I274" s="62" t="str">
        <f t="shared" si="10"/>
        <v/>
      </c>
      <c r="J274" s="62" t="str">
        <f t="shared" si="3"/>
        <v/>
      </c>
      <c r="K274" s="68" t="str">
        <f t="shared" si="11"/>
        <v/>
      </c>
      <c r="L274" s="64"/>
      <c r="M274" s="64"/>
      <c r="N274" s="64"/>
      <c r="O274" s="64"/>
      <c r="P274" s="4"/>
      <c r="Q274" s="4"/>
      <c r="R274" s="4"/>
      <c r="S274" s="4"/>
      <c r="T274" s="4"/>
      <c r="U274" s="4"/>
      <c r="V274" s="8">
        <f t="shared" si="12"/>
        <v>12151276043542</v>
      </c>
      <c r="W274" s="5" t="str">
        <f t="shared" si="7"/>
        <v>nops</v>
      </c>
      <c r="X274" s="67"/>
      <c r="Y274" s="4"/>
      <c r="Z274" s="4"/>
      <c r="AA274" s="4"/>
    </row>
    <row r="275" ht="19.5" customHeight="1">
      <c r="A275" s="56" t="s">
        <v>28</v>
      </c>
      <c r="B275" s="57">
        <v>256.0</v>
      </c>
      <c r="C275" s="58">
        <f t="shared" si="8"/>
        <v>20175990924428</v>
      </c>
      <c r="D275" s="58">
        <f t="shared" si="9"/>
        <v>2161713313332</v>
      </c>
      <c r="E275" s="59"/>
      <c r="F275" s="60" t="str">
        <f t="shared" si="1"/>
        <v>-</v>
      </c>
      <c r="G275" s="5" t="str">
        <f t="shared" si="2"/>
        <v>nops</v>
      </c>
      <c r="H275" s="83"/>
      <c r="I275" s="62" t="str">
        <f t="shared" si="10"/>
        <v/>
      </c>
      <c r="J275" s="62" t="str">
        <f t="shared" si="3"/>
        <v/>
      </c>
      <c r="K275" s="68" t="str">
        <f t="shared" si="11"/>
        <v/>
      </c>
      <c r="L275" s="64"/>
      <c r="M275" s="64"/>
      <c r="N275" s="64"/>
      <c r="O275" s="64"/>
      <c r="P275" s="4"/>
      <c r="Q275" s="4"/>
      <c r="R275" s="4"/>
      <c r="S275" s="4"/>
      <c r="T275" s="4"/>
      <c r="U275" s="4"/>
      <c r="V275" s="8">
        <f t="shared" si="12"/>
        <v>13609429168768</v>
      </c>
      <c r="W275" s="5" t="str">
        <f t="shared" si="7"/>
        <v>nops</v>
      </c>
      <c r="X275" s="67"/>
      <c r="Y275" s="4"/>
      <c r="Z275" s="4"/>
      <c r="AA275" s="4"/>
    </row>
    <row r="276" ht="19.5" customHeight="1">
      <c r="A276" s="56" t="s">
        <v>28</v>
      </c>
      <c r="B276" s="57">
        <v>257.0</v>
      </c>
      <c r="C276" s="58">
        <f t="shared" si="8"/>
        <v>22597109835360</v>
      </c>
      <c r="D276" s="58">
        <f t="shared" si="9"/>
        <v>2421118910931</v>
      </c>
      <c r="E276" s="59"/>
      <c r="F276" s="60" t="str">
        <f t="shared" si="1"/>
        <v>-</v>
      </c>
      <c r="G276" s="5" t="str">
        <f t="shared" si="2"/>
        <v>nops</v>
      </c>
      <c r="H276" s="83"/>
      <c r="I276" s="62" t="str">
        <f t="shared" si="10"/>
        <v/>
      </c>
      <c r="J276" s="62" t="str">
        <f t="shared" si="3"/>
        <v/>
      </c>
      <c r="K276" s="68" t="str">
        <f t="shared" si="11"/>
        <v/>
      </c>
      <c r="L276" s="64"/>
      <c r="M276" s="64"/>
      <c r="N276" s="64"/>
      <c r="O276" s="64"/>
      <c r="P276" s="4"/>
      <c r="Q276" s="4"/>
      <c r="R276" s="4"/>
      <c r="S276" s="4"/>
      <c r="T276" s="4"/>
      <c r="U276" s="4"/>
      <c r="V276" s="8">
        <f t="shared" si="12"/>
        <v>15242560669020</v>
      </c>
      <c r="W276" s="5" t="str">
        <f t="shared" si="7"/>
        <v>nops</v>
      </c>
      <c r="X276" s="67"/>
      <c r="Y276" s="4"/>
      <c r="Z276" s="4"/>
      <c r="AA276" s="4"/>
    </row>
    <row r="277" ht="19.5" customHeight="1">
      <c r="A277" s="56" t="s">
        <v>28</v>
      </c>
      <c r="B277" s="57">
        <v>258.0</v>
      </c>
      <c r="C277" s="58">
        <f t="shared" si="8"/>
        <v>25308763015603</v>
      </c>
      <c r="D277" s="58">
        <f t="shared" si="9"/>
        <v>2711653180243</v>
      </c>
      <c r="E277" s="59"/>
      <c r="F277" s="60" t="str">
        <f t="shared" si="1"/>
        <v>-</v>
      </c>
      <c r="G277" s="5" t="str">
        <f t="shared" si="2"/>
        <v>nops</v>
      </c>
      <c r="H277" s="83"/>
      <c r="I277" s="62" t="str">
        <f t="shared" si="10"/>
        <v/>
      </c>
      <c r="J277" s="62" t="str">
        <f t="shared" si="3"/>
        <v/>
      </c>
      <c r="K277" s="68" t="str">
        <f t="shared" si="11"/>
        <v/>
      </c>
      <c r="L277" s="64"/>
      <c r="M277" s="64"/>
      <c r="N277" s="64"/>
      <c r="O277" s="64"/>
      <c r="P277" s="4"/>
      <c r="Q277" s="4"/>
      <c r="R277" s="4"/>
      <c r="S277" s="4"/>
      <c r="T277" s="4"/>
      <c r="U277" s="4"/>
      <c r="V277" s="8">
        <f t="shared" si="12"/>
        <v>17071667949302</v>
      </c>
      <c r="W277" s="5" t="str">
        <f t="shared" si="7"/>
        <v>nops</v>
      </c>
      <c r="X277" s="67"/>
      <c r="Y277" s="4"/>
      <c r="Z277" s="4"/>
      <c r="AA277" s="4"/>
    </row>
    <row r="278" ht="19.5" customHeight="1">
      <c r="A278" s="56" t="s">
        <v>28</v>
      </c>
      <c r="B278" s="57">
        <v>259.0</v>
      </c>
      <c r="C278" s="58">
        <f t="shared" si="8"/>
        <v>28345814577475</v>
      </c>
      <c r="D278" s="58">
        <f t="shared" si="9"/>
        <v>3037051561872</v>
      </c>
      <c r="E278" s="59"/>
      <c r="F278" s="60" t="str">
        <f t="shared" si="1"/>
        <v>-</v>
      </c>
      <c r="G278" s="5" t="str">
        <f t="shared" si="2"/>
        <v>nops</v>
      </c>
      <c r="H278" s="83"/>
      <c r="I278" s="62" t="str">
        <f t="shared" si="10"/>
        <v/>
      </c>
      <c r="J278" s="62" t="str">
        <f t="shared" si="3"/>
        <v/>
      </c>
      <c r="K278" s="68" t="str">
        <f t="shared" si="11"/>
        <v/>
      </c>
      <c r="L278" s="64"/>
      <c r="M278" s="64"/>
      <c r="N278" s="64"/>
      <c r="O278" s="64"/>
      <c r="P278" s="4"/>
      <c r="Q278" s="4"/>
      <c r="R278" s="4"/>
      <c r="S278" s="4"/>
      <c r="T278" s="4"/>
      <c r="U278" s="4"/>
      <c r="V278" s="8">
        <f t="shared" si="12"/>
        <v>19120268103218</v>
      </c>
      <c r="W278" s="5" t="str">
        <f t="shared" si="7"/>
        <v>nops</v>
      </c>
      <c r="X278" s="67"/>
      <c r="Y278" s="4"/>
      <c r="Z278" s="4"/>
      <c r="AA278" s="4"/>
    </row>
    <row r="279" ht="19.5" customHeight="1">
      <c r="A279" s="56" t="s">
        <v>28</v>
      </c>
      <c r="B279" s="57">
        <v>260.0</v>
      </c>
      <c r="C279" s="58">
        <f t="shared" si="8"/>
        <v>31747312326772</v>
      </c>
      <c r="D279" s="58">
        <f t="shared" si="9"/>
        <v>3401497749297</v>
      </c>
      <c r="E279" s="59"/>
      <c r="F279" s="60" t="str">
        <f t="shared" si="1"/>
        <v>-</v>
      </c>
      <c r="G279" s="5" t="str">
        <f t="shared" si="2"/>
        <v>nops</v>
      </c>
      <c r="H279" s="83"/>
      <c r="I279" s="62" t="str">
        <f t="shared" si="10"/>
        <v/>
      </c>
      <c r="J279" s="62" t="str">
        <f t="shared" si="3"/>
        <v/>
      </c>
      <c r="K279" s="68" t="str">
        <f t="shared" si="11"/>
        <v/>
      </c>
      <c r="L279" s="64"/>
      <c r="M279" s="64"/>
      <c r="N279" s="64"/>
      <c r="O279" s="64"/>
      <c r="P279" s="4"/>
      <c r="Q279" s="4"/>
      <c r="R279" s="4"/>
      <c r="S279" s="4"/>
      <c r="T279" s="4"/>
      <c r="U279" s="4"/>
      <c r="V279" s="8">
        <f t="shared" si="12"/>
        <v>21414700275604</v>
      </c>
      <c r="W279" s="5" t="str">
        <f t="shared" si="7"/>
        <v>nops</v>
      </c>
      <c r="X279" s="67"/>
      <c r="Y279" s="4"/>
      <c r="Z279" s="4"/>
      <c r="AA279" s="4"/>
    </row>
    <row r="280" ht="19.5" customHeight="1">
      <c r="A280" s="56" t="s">
        <v>28</v>
      </c>
      <c r="B280" s="57">
        <v>261.0</v>
      </c>
      <c r="C280" s="58">
        <f t="shared" si="8"/>
        <v>35556989805985</v>
      </c>
      <c r="D280" s="58">
        <f t="shared" si="9"/>
        <v>3809677479213</v>
      </c>
      <c r="E280" s="59"/>
      <c r="F280" s="60" t="str">
        <f t="shared" si="1"/>
        <v>-</v>
      </c>
      <c r="G280" s="5" t="str">
        <f t="shared" si="2"/>
        <v>nops</v>
      </c>
      <c r="H280" s="83"/>
      <c r="I280" s="62" t="str">
        <f t="shared" si="10"/>
        <v/>
      </c>
      <c r="J280" s="62" t="str">
        <f t="shared" si="3"/>
        <v/>
      </c>
      <c r="K280" s="68" t="str">
        <f t="shared" si="11"/>
        <v/>
      </c>
      <c r="L280" s="64"/>
      <c r="M280" s="64"/>
      <c r="N280" s="64"/>
      <c r="O280" s="64"/>
      <c r="P280" s="4"/>
      <c r="Q280" s="4"/>
      <c r="R280" s="4"/>
      <c r="S280" s="4"/>
      <c r="T280" s="4"/>
      <c r="U280" s="4"/>
      <c r="V280" s="8">
        <f t="shared" si="12"/>
        <v>23984464308677</v>
      </c>
      <c r="W280" s="5" t="str">
        <f t="shared" si="7"/>
        <v>nops</v>
      </c>
      <c r="X280" s="67"/>
      <c r="Y280" s="4"/>
      <c r="Z280" s="4"/>
      <c r="AA280" s="4"/>
    </row>
    <row r="281" ht="19.5" customHeight="1">
      <c r="A281" s="56" t="s">
        <v>28</v>
      </c>
      <c r="B281" s="57">
        <v>262.0</v>
      </c>
      <c r="C281" s="58">
        <f t="shared" si="8"/>
        <v>39823828582703</v>
      </c>
      <c r="D281" s="58">
        <f t="shared" si="9"/>
        <v>4266838776718</v>
      </c>
      <c r="E281" s="59"/>
      <c r="F281" s="60" t="str">
        <f t="shared" si="1"/>
        <v>-</v>
      </c>
      <c r="G281" s="5" t="str">
        <f t="shared" si="2"/>
        <v>nops</v>
      </c>
      <c r="H281" s="83"/>
      <c r="I281" s="62" t="str">
        <f t="shared" si="10"/>
        <v/>
      </c>
      <c r="J281" s="62" t="str">
        <f t="shared" si="3"/>
        <v/>
      </c>
      <c r="K281" s="68" t="str">
        <f t="shared" si="11"/>
        <v/>
      </c>
      <c r="L281" s="64"/>
      <c r="M281" s="64"/>
      <c r="N281" s="64"/>
      <c r="O281" s="64"/>
      <c r="P281" s="4"/>
      <c r="Q281" s="4"/>
      <c r="R281" s="4"/>
      <c r="S281" s="4"/>
      <c r="T281" s="4"/>
      <c r="U281" s="4"/>
      <c r="V281" s="8">
        <f t="shared" si="12"/>
        <v>26862600025718</v>
      </c>
      <c r="W281" s="5" t="str">
        <f t="shared" si="7"/>
        <v>nops</v>
      </c>
      <c r="X281" s="67"/>
      <c r="Y281" s="4"/>
      <c r="Z281" s="4"/>
      <c r="AA281" s="4"/>
    </row>
    <row r="282" ht="19.5" customHeight="1">
      <c r="A282" s="56" t="s">
        <v>28</v>
      </c>
      <c r="B282" s="57">
        <v>263.0</v>
      </c>
      <c r="C282" s="58">
        <f t="shared" si="8"/>
        <v>44602688012627</v>
      </c>
      <c r="D282" s="58">
        <f t="shared" si="9"/>
        <v>4778859429924</v>
      </c>
      <c r="E282" s="59"/>
      <c r="F282" s="60" t="str">
        <f t="shared" si="1"/>
        <v>-</v>
      </c>
      <c r="G282" s="5" t="str">
        <f t="shared" si="2"/>
        <v>nops</v>
      </c>
      <c r="H282" s="83"/>
      <c r="I282" s="62" t="str">
        <f t="shared" si="10"/>
        <v/>
      </c>
      <c r="J282" s="62" t="str">
        <f t="shared" si="3"/>
        <v/>
      </c>
      <c r="K282" s="68" t="str">
        <f t="shared" si="11"/>
        <v/>
      </c>
      <c r="L282" s="64"/>
      <c r="M282" s="64"/>
      <c r="N282" s="64"/>
      <c r="O282" s="64"/>
      <c r="P282" s="4"/>
      <c r="Q282" s="4"/>
      <c r="R282" s="4"/>
      <c r="S282" s="4"/>
      <c r="T282" s="4"/>
      <c r="U282" s="4"/>
      <c r="V282" s="8">
        <f t="shared" si="12"/>
        <v>30086112028804</v>
      </c>
      <c r="W282" s="5" t="str">
        <f t="shared" si="7"/>
        <v>nops</v>
      </c>
      <c r="X282" s="67"/>
      <c r="Y282" s="4"/>
      <c r="Z282" s="4"/>
      <c r="AA282" s="4"/>
    </row>
    <row r="283" ht="19.5" customHeight="1">
      <c r="A283" s="56" t="s">
        <v>28</v>
      </c>
      <c r="B283" s="57">
        <v>264.0</v>
      </c>
      <c r="C283" s="58">
        <f t="shared" si="8"/>
        <v>49955010574142</v>
      </c>
      <c r="D283" s="58">
        <f t="shared" si="9"/>
        <v>5352322561515</v>
      </c>
      <c r="E283" s="59"/>
      <c r="F283" s="60" t="str">
        <f t="shared" si="1"/>
        <v>-</v>
      </c>
      <c r="G283" s="5" t="str">
        <f t="shared" si="2"/>
        <v>nops</v>
      </c>
      <c r="H283" s="83"/>
      <c r="I283" s="62" t="str">
        <f t="shared" si="10"/>
        <v/>
      </c>
      <c r="J283" s="62" t="str">
        <f t="shared" si="3"/>
        <v/>
      </c>
      <c r="K283" s="68" t="str">
        <f t="shared" si="11"/>
        <v/>
      </c>
      <c r="L283" s="64"/>
      <c r="M283" s="64"/>
      <c r="N283" s="64"/>
      <c r="O283" s="64"/>
      <c r="P283" s="4"/>
      <c r="Q283" s="4"/>
      <c r="R283" s="4"/>
      <c r="S283" s="4"/>
      <c r="T283" s="4"/>
      <c r="U283" s="4"/>
      <c r="V283" s="8">
        <f t="shared" si="12"/>
        <v>33696445472261</v>
      </c>
      <c r="W283" s="5" t="str">
        <f t="shared" si="7"/>
        <v>nops</v>
      </c>
      <c r="X283" s="67"/>
      <c r="Y283" s="4"/>
      <c r="Z283" s="4"/>
      <c r="AA283" s="4"/>
    </row>
    <row r="284" ht="19.5" customHeight="1">
      <c r="A284" s="56" t="s">
        <v>28</v>
      </c>
      <c r="B284" s="57">
        <v>265.0</v>
      </c>
      <c r="C284" s="58">
        <f t="shared" si="8"/>
        <v>55949611843039</v>
      </c>
      <c r="D284" s="58">
        <f t="shared" si="9"/>
        <v>5994601268897</v>
      </c>
      <c r="E284" s="59"/>
      <c r="F284" s="60" t="str">
        <f t="shared" si="1"/>
        <v>-</v>
      </c>
      <c r="G284" s="5" t="str">
        <f t="shared" si="2"/>
        <v>nops</v>
      </c>
      <c r="H284" s="83"/>
      <c r="I284" s="62" t="str">
        <f t="shared" si="10"/>
        <v/>
      </c>
      <c r="J284" s="62" t="str">
        <f t="shared" si="3"/>
        <v/>
      </c>
      <c r="K284" s="68" t="str">
        <f t="shared" si="11"/>
        <v/>
      </c>
      <c r="L284" s="64"/>
      <c r="M284" s="64"/>
      <c r="N284" s="64"/>
      <c r="O284" s="64"/>
      <c r="P284" s="4"/>
      <c r="Q284" s="4"/>
      <c r="R284" s="4"/>
      <c r="S284" s="4"/>
      <c r="T284" s="4"/>
      <c r="U284" s="4"/>
      <c r="V284" s="8">
        <f t="shared" si="12"/>
        <v>37740018928932</v>
      </c>
      <c r="W284" s="5" t="str">
        <f t="shared" si="7"/>
        <v>nops</v>
      </c>
      <c r="X284" s="67"/>
      <c r="Y284" s="4"/>
      <c r="Z284" s="4"/>
      <c r="AA284" s="4"/>
    </row>
    <row r="285" ht="19.5" customHeight="1">
      <c r="A285" s="56" t="s">
        <v>28</v>
      </c>
      <c r="B285" s="57">
        <v>266.0</v>
      </c>
      <c r="C285" s="58">
        <f t="shared" si="8"/>
        <v>62663565264204</v>
      </c>
      <c r="D285" s="58">
        <f t="shared" si="9"/>
        <v>6713953421165</v>
      </c>
      <c r="E285" s="59"/>
      <c r="F285" s="60" t="str">
        <f t="shared" si="1"/>
        <v>-</v>
      </c>
      <c r="G285" s="5" t="str">
        <f t="shared" si="2"/>
        <v>nops</v>
      </c>
      <c r="H285" s="83"/>
      <c r="I285" s="62" t="str">
        <f t="shared" si="10"/>
        <v/>
      </c>
      <c r="J285" s="62" t="str">
        <f t="shared" si="3"/>
        <v/>
      </c>
      <c r="K285" s="68" t="str">
        <f t="shared" si="11"/>
        <v/>
      </c>
      <c r="L285" s="64"/>
      <c r="M285" s="64"/>
      <c r="N285" s="64"/>
      <c r="O285" s="64"/>
      <c r="P285" s="4"/>
      <c r="Q285" s="4"/>
      <c r="R285" s="4"/>
      <c r="S285" s="4"/>
      <c r="T285" s="4"/>
      <c r="U285" s="4"/>
      <c r="V285" s="8">
        <f t="shared" si="12"/>
        <v>42268821200404</v>
      </c>
      <c r="W285" s="5" t="str">
        <f t="shared" si="7"/>
        <v>nops</v>
      </c>
      <c r="X285" s="67"/>
      <c r="Y285" s="4"/>
      <c r="Z285" s="4"/>
      <c r="AA285" s="4"/>
    </row>
    <row r="286" ht="19.5" customHeight="1">
      <c r="A286" s="56" t="s">
        <v>28</v>
      </c>
      <c r="B286" s="57">
        <v>267.0</v>
      </c>
      <c r="C286" s="58">
        <f t="shared" si="8"/>
        <v>70183193095909</v>
      </c>
      <c r="D286" s="58">
        <f t="shared" si="9"/>
        <v>7519627831705</v>
      </c>
      <c r="E286" s="59"/>
      <c r="F286" s="60" t="str">
        <f t="shared" si="1"/>
        <v>-</v>
      </c>
      <c r="G286" s="5" t="str">
        <f t="shared" si="2"/>
        <v>nops</v>
      </c>
      <c r="H286" s="83"/>
      <c r="I286" s="62" t="str">
        <f t="shared" si="10"/>
        <v/>
      </c>
      <c r="J286" s="62" t="str">
        <f t="shared" si="3"/>
        <v/>
      </c>
      <c r="K286" s="68" t="str">
        <f t="shared" si="11"/>
        <v/>
      </c>
      <c r="L286" s="64"/>
      <c r="M286" s="64"/>
      <c r="N286" s="64"/>
      <c r="O286" s="64"/>
      <c r="P286" s="4"/>
      <c r="Q286" s="4"/>
      <c r="R286" s="4"/>
      <c r="S286" s="4"/>
      <c r="T286" s="4"/>
      <c r="U286" s="4"/>
      <c r="V286" s="8">
        <f t="shared" si="12"/>
        <v>47341079744452</v>
      </c>
      <c r="W286" s="5" t="str">
        <f t="shared" si="7"/>
        <v>nops</v>
      </c>
      <c r="X286" s="67"/>
      <c r="Y286" s="4"/>
      <c r="Z286" s="4"/>
      <c r="AA286" s="4"/>
    </row>
    <row r="287" ht="19.5" customHeight="1">
      <c r="A287" s="56" t="s">
        <v>28</v>
      </c>
      <c r="B287" s="57">
        <v>268.0</v>
      </c>
      <c r="C287" s="58">
        <f t="shared" si="8"/>
        <v>78605176267418</v>
      </c>
      <c r="D287" s="58">
        <f t="shared" si="9"/>
        <v>8421983171509</v>
      </c>
      <c r="E287" s="59"/>
      <c r="F287" s="60" t="str">
        <f t="shared" si="1"/>
        <v>-</v>
      </c>
      <c r="G287" s="5" t="str">
        <f t="shared" si="2"/>
        <v>nops</v>
      </c>
      <c r="H287" s="83"/>
      <c r="I287" s="62" t="str">
        <f t="shared" si="10"/>
        <v/>
      </c>
      <c r="J287" s="62" t="str">
        <f t="shared" si="3"/>
        <v/>
      </c>
      <c r="K287" s="68" t="str">
        <f t="shared" si="11"/>
        <v/>
      </c>
      <c r="L287" s="64"/>
      <c r="M287" s="64"/>
      <c r="N287" s="64"/>
      <c r="O287" s="64"/>
      <c r="P287" s="4"/>
      <c r="Q287" s="4"/>
      <c r="R287" s="4"/>
      <c r="S287" s="4"/>
      <c r="T287" s="4"/>
      <c r="U287" s="4"/>
      <c r="V287" s="8">
        <f t="shared" si="12"/>
        <v>53022009313787</v>
      </c>
      <c r="W287" s="5" t="str">
        <f t="shared" si="7"/>
        <v>nops</v>
      </c>
      <c r="X287" s="67"/>
      <c r="Y287" s="4"/>
      <c r="Z287" s="4"/>
      <c r="AA287" s="4"/>
    </row>
    <row r="288" ht="19.5" customHeight="1">
      <c r="A288" s="56" t="s">
        <v>28</v>
      </c>
      <c r="B288" s="57">
        <v>269.0</v>
      </c>
      <c r="C288" s="58">
        <f t="shared" si="8"/>
        <v>88037797419508</v>
      </c>
      <c r="D288" s="58">
        <f t="shared" si="9"/>
        <v>9432621152090</v>
      </c>
      <c r="E288" s="59"/>
      <c r="F288" s="60" t="str">
        <f t="shared" si="1"/>
        <v>-</v>
      </c>
      <c r="G288" s="5" t="str">
        <f t="shared" si="2"/>
        <v>nops</v>
      </c>
      <c r="H288" s="83"/>
      <c r="I288" s="62" t="str">
        <f t="shared" si="10"/>
        <v/>
      </c>
      <c r="J288" s="62" t="str">
        <f t="shared" si="3"/>
        <v/>
      </c>
      <c r="K288" s="68" t="str">
        <f t="shared" si="11"/>
        <v/>
      </c>
      <c r="L288" s="64"/>
      <c r="M288" s="64"/>
      <c r="N288" s="64"/>
      <c r="O288" s="64"/>
      <c r="P288" s="4"/>
      <c r="Q288" s="4"/>
      <c r="R288" s="4"/>
      <c r="S288" s="4"/>
      <c r="T288" s="4"/>
      <c r="U288" s="4"/>
      <c r="V288" s="8">
        <f t="shared" si="12"/>
        <v>59384650431441</v>
      </c>
      <c r="W288" s="5" t="str">
        <f t="shared" si="7"/>
        <v>nops</v>
      </c>
      <c r="X288" s="67"/>
      <c r="Y288" s="4"/>
      <c r="Z288" s="4"/>
      <c r="AA288" s="4"/>
    </row>
    <row r="289" ht="19.5" customHeight="1">
      <c r="A289" s="56" t="s">
        <v>28</v>
      </c>
      <c r="B289" s="57">
        <v>270.0</v>
      </c>
      <c r="C289" s="58">
        <f t="shared" si="8"/>
        <v>98602333109849</v>
      </c>
      <c r="D289" s="58">
        <f t="shared" si="9"/>
        <v>10564535690341</v>
      </c>
      <c r="E289" s="59"/>
      <c r="F289" s="60" t="str">
        <f t="shared" si="1"/>
        <v>-</v>
      </c>
      <c r="G289" s="5" t="str">
        <f t="shared" si="2"/>
        <v>nops</v>
      </c>
      <c r="H289" s="83"/>
      <c r="I289" s="62" t="str">
        <f t="shared" si="10"/>
        <v/>
      </c>
      <c r="J289" s="62" t="str">
        <f t="shared" si="3"/>
        <v/>
      </c>
      <c r="K289" s="68" t="str">
        <f t="shared" si="11"/>
        <v/>
      </c>
      <c r="L289" s="64"/>
      <c r="M289" s="64"/>
      <c r="N289" s="64"/>
      <c r="O289" s="64"/>
      <c r="P289" s="4"/>
      <c r="Q289" s="4"/>
      <c r="R289" s="4"/>
      <c r="S289" s="4"/>
      <c r="T289" s="4"/>
      <c r="U289" s="4"/>
      <c r="V289" s="8">
        <f t="shared" si="12"/>
        <v>66510808483214</v>
      </c>
      <c r="W289" s="5" t="str">
        <f t="shared" si="7"/>
        <v>nops</v>
      </c>
      <c r="X289" s="67"/>
      <c r="Y289" s="4"/>
      <c r="Z289" s="4"/>
      <c r="AA289" s="4"/>
    </row>
    <row r="290" ht="19.5" customHeight="1">
      <c r="A290" s="56" t="s">
        <v>28</v>
      </c>
      <c r="B290" s="57">
        <v>271.0</v>
      </c>
      <c r="C290" s="58">
        <f t="shared" si="8"/>
        <v>110434613083031</v>
      </c>
      <c r="D290" s="58">
        <f t="shared" si="9"/>
        <v>11832279973182</v>
      </c>
      <c r="E290" s="59"/>
      <c r="F290" s="60" t="str">
        <f t="shared" si="1"/>
        <v>-</v>
      </c>
      <c r="G290" s="5" t="str">
        <f t="shared" si="2"/>
        <v>nops</v>
      </c>
      <c r="H290" s="83"/>
      <c r="I290" s="62" t="str">
        <f t="shared" si="10"/>
        <v/>
      </c>
      <c r="J290" s="62" t="str">
        <f t="shared" si="3"/>
        <v/>
      </c>
      <c r="K290" s="68" t="str">
        <f t="shared" si="11"/>
        <v/>
      </c>
      <c r="L290" s="64"/>
      <c r="M290" s="64"/>
      <c r="N290" s="64"/>
      <c r="O290" s="64"/>
      <c r="P290" s="4"/>
      <c r="Q290" s="4"/>
      <c r="R290" s="4"/>
      <c r="S290" s="4"/>
      <c r="T290" s="4"/>
      <c r="U290" s="4"/>
      <c r="V290" s="8">
        <f t="shared" si="12"/>
        <v>74492105501200</v>
      </c>
      <c r="W290" s="5" t="str">
        <f t="shared" si="7"/>
        <v>nops</v>
      </c>
      <c r="X290" s="67"/>
      <c r="Y290" s="4"/>
      <c r="Z290" s="4"/>
      <c r="AA290" s="4"/>
    </row>
    <row r="291" ht="19.5" customHeight="1">
      <c r="A291" s="56" t="s">
        <v>28</v>
      </c>
      <c r="B291" s="57">
        <v>272.0</v>
      </c>
      <c r="C291" s="58">
        <f t="shared" si="8"/>
        <v>123686766652994</v>
      </c>
      <c r="D291" s="58">
        <f t="shared" si="9"/>
        <v>13252153569964</v>
      </c>
      <c r="E291" s="59"/>
      <c r="F291" s="60" t="str">
        <f t="shared" si="1"/>
        <v>-</v>
      </c>
      <c r="G291" s="5" t="str">
        <f t="shared" si="2"/>
        <v>nops</v>
      </c>
      <c r="H291" s="83"/>
      <c r="I291" s="62" t="str">
        <f t="shared" si="10"/>
        <v/>
      </c>
      <c r="J291" s="62" t="str">
        <f t="shared" si="3"/>
        <v/>
      </c>
      <c r="K291" s="68" t="str">
        <f t="shared" si="11"/>
        <v/>
      </c>
      <c r="L291" s="64"/>
      <c r="M291" s="64"/>
      <c r="N291" s="64"/>
      <c r="O291" s="64"/>
      <c r="P291" s="4"/>
      <c r="Q291" s="4"/>
      <c r="R291" s="4"/>
      <c r="S291" s="4"/>
      <c r="T291" s="4"/>
      <c r="U291" s="4"/>
      <c r="V291" s="8">
        <f t="shared" si="12"/>
        <v>83431158161344</v>
      </c>
      <c r="W291" s="5" t="str">
        <f t="shared" si="7"/>
        <v>nops</v>
      </c>
      <c r="X291" s="67"/>
      <c r="Y291" s="4"/>
      <c r="Z291" s="4"/>
      <c r="AA291" s="4"/>
    </row>
    <row r="292" ht="19.5" customHeight="1">
      <c r="A292" s="56" t="s">
        <v>28</v>
      </c>
      <c r="B292" s="57">
        <v>273.0</v>
      </c>
      <c r="C292" s="58">
        <f t="shared" si="8"/>
        <v>138529178651354</v>
      </c>
      <c r="D292" s="58">
        <f t="shared" si="9"/>
        <v>14842411998359</v>
      </c>
      <c r="E292" s="59"/>
      <c r="F292" s="60" t="str">
        <f t="shared" si="1"/>
        <v>-</v>
      </c>
      <c r="G292" s="5" t="str">
        <f t="shared" si="2"/>
        <v>nops</v>
      </c>
      <c r="H292" s="83"/>
      <c r="I292" s="62" t="str">
        <f t="shared" si="10"/>
        <v/>
      </c>
      <c r="J292" s="62" t="str">
        <f t="shared" si="3"/>
        <v/>
      </c>
      <c r="K292" s="68" t="str">
        <f t="shared" si="11"/>
        <v/>
      </c>
      <c r="L292" s="64"/>
      <c r="M292" s="64"/>
      <c r="N292" s="64"/>
      <c r="O292" s="64"/>
      <c r="P292" s="4"/>
      <c r="Q292" s="4"/>
      <c r="R292" s="4"/>
      <c r="S292" s="4"/>
      <c r="T292" s="4"/>
      <c r="U292" s="4"/>
      <c r="V292" s="8">
        <f t="shared" si="12"/>
        <v>93442897140705</v>
      </c>
      <c r="W292" s="5" t="str">
        <f t="shared" si="7"/>
        <v>nops</v>
      </c>
      <c r="X292" s="67"/>
      <c r="Y292" s="4"/>
      <c r="Z292" s="4"/>
      <c r="AA292" s="4"/>
    </row>
    <row r="293" ht="19.5" customHeight="1">
      <c r="A293" s="56" t="s">
        <v>28</v>
      </c>
      <c r="B293" s="57">
        <v>274.0</v>
      </c>
      <c r="C293" s="58">
        <f t="shared" si="8"/>
        <v>155152680089516</v>
      </c>
      <c r="D293" s="58">
        <f t="shared" si="9"/>
        <v>16623501438162</v>
      </c>
      <c r="E293" s="59"/>
      <c r="F293" s="60" t="str">
        <f t="shared" si="1"/>
        <v>-</v>
      </c>
      <c r="G293" s="5" t="str">
        <f t="shared" si="2"/>
        <v>nops</v>
      </c>
      <c r="H293" s="83"/>
      <c r="I293" s="62" t="str">
        <f t="shared" si="10"/>
        <v/>
      </c>
      <c r="J293" s="62" t="str">
        <f t="shared" si="3"/>
        <v/>
      </c>
      <c r="K293" s="68" t="str">
        <f t="shared" si="11"/>
        <v/>
      </c>
      <c r="L293" s="64"/>
      <c r="M293" s="64"/>
      <c r="N293" s="64"/>
      <c r="O293" s="64"/>
      <c r="P293" s="4"/>
      <c r="Q293" s="4"/>
      <c r="R293" s="4"/>
      <c r="S293" s="4"/>
      <c r="T293" s="4"/>
      <c r="U293" s="4"/>
      <c r="V293" s="8">
        <f t="shared" si="12"/>
        <v>104656044797589</v>
      </c>
      <c r="W293" s="5" t="str">
        <f t="shared" si="7"/>
        <v>nops</v>
      </c>
      <c r="X293" s="67"/>
      <c r="Y293" s="4"/>
      <c r="Z293" s="4"/>
      <c r="AA293" s="4"/>
    </row>
    <row r="294" ht="19.5" customHeight="1">
      <c r="A294" s="56" t="s">
        <v>28</v>
      </c>
      <c r="B294" s="57">
        <v>275.0</v>
      </c>
      <c r="C294" s="58">
        <f t="shared" si="8"/>
        <v>173771001700258</v>
      </c>
      <c r="D294" s="58">
        <f t="shared" si="9"/>
        <v>18618321610742</v>
      </c>
      <c r="E294" s="59"/>
      <c r="F294" s="60" t="str">
        <f t="shared" si="1"/>
        <v>-</v>
      </c>
      <c r="G294" s="5" t="str">
        <f t="shared" si="2"/>
        <v>nops</v>
      </c>
      <c r="H294" s="83"/>
      <c r="I294" s="62" t="str">
        <f t="shared" si="10"/>
        <v/>
      </c>
      <c r="J294" s="62" t="str">
        <f t="shared" si="3"/>
        <v/>
      </c>
      <c r="K294" s="68" t="str">
        <f t="shared" si="11"/>
        <v/>
      </c>
      <c r="L294" s="64"/>
      <c r="M294" s="64"/>
      <c r="N294" s="64"/>
      <c r="O294" s="64"/>
      <c r="P294" s="4"/>
      <c r="Q294" s="4"/>
      <c r="R294" s="4"/>
      <c r="S294" s="4"/>
      <c r="T294" s="4"/>
      <c r="U294" s="4"/>
      <c r="V294" s="8">
        <f t="shared" si="12"/>
        <v>117214770173300</v>
      </c>
      <c r="W294" s="5" t="str">
        <f t="shared" si="7"/>
        <v>nops</v>
      </c>
      <c r="X294" s="67"/>
      <c r="Y294" s="4"/>
      <c r="Z294" s="4"/>
      <c r="AA294" s="4"/>
    </row>
    <row r="295" ht="19.5" customHeight="1">
      <c r="A295" s="56" t="s">
        <v>28</v>
      </c>
      <c r="B295" s="57">
        <v>276.0</v>
      </c>
      <c r="C295" s="58">
        <f t="shared" si="8"/>
        <v>194623521904289</v>
      </c>
      <c r="D295" s="58">
        <f t="shared" si="9"/>
        <v>20852520204031</v>
      </c>
      <c r="E295" s="59"/>
      <c r="F295" s="60" t="str">
        <f t="shared" si="1"/>
        <v>-</v>
      </c>
      <c r="G295" s="5" t="str">
        <f t="shared" si="2"/>
        <v>nops</v>
      </c>
      <c r="H295" s="83"/>
      <c r="I295" s="62" t="str">
        <f t="shared" si="10"/>
        <v/>
      </c>
      <c r="J295" s="62" t="str">
        <f t="shared" si="3"/>
        <v/>
      </c>
      <c r="K295" s="68" t="str">
        <f t="shared" si="11"/>
        <v/>
      </c>
      <c r="L295" s="64"/>
      <c r="M295" s="64"/>
      <c r="N295" s="64"/>
      <c r="O295" s="64"/>
      <c r="P295" s="4"/>
      <c r="Q295" s="4"/>
      <c r="R295" s="4"/>
      <c r="S295" s="4"/>
      <c r="T295" s="4"/>
      <c r="U295" s="4"/>
      <c r="V295" s="8">
        <f t="shared" si="12"/>
        <v>131280542594096</v>
      </c>
      <c r="W295" s="5" t="str">
        <f t="shared" si="7"/>
        <v>nops</v>
      </c>
      <c r="X295" s="67"/>
      <c r="Y295" s="4"/>
      <c r="Z295" s="4"/>
      <c r="AA295" s="4"/>
    </row>
    <row r="296" ht="19.5" customHeight="1">
      <c r="A296" s="56" t="s">
        <v>28</v>
      </c>
      <c r="B296" s="57">
        <v>277.0</v>
      </c>
      <c r="C296" s="58">
        <f t="shared" si="8"/>
        <v>217978344532804</v>
      </c>
      <c r="D296" s="58">
        <f t="shared" si="9"/>
        <v>23354822628515</v>
      </c>
      <c r="E296" s="59"/>
      <c r="F296" s="60" t="str">
        <f t="shared" si="1"/>
        <v>-</v>
      </c>
      <c r="G296" s="5" t="str">
        <f t="shared" si="2"/>
        <v>nops</v>
      </c>
      <c r="H296" s="83"/>
      <c r="I296" s="62" t="str">
        <f t="shared" si="10"/>
        <v/>
      </c>
      <c r="J296" s="62" t="str">
        <f t="shared" si="3"/>
        <v/>
      </c>
      <c r="K296" s="68" t="str">
        <f t="shared" si="11"/>
        <v/>
      </c>
      <c r="L296" s="64"/>
      <c r="M296" s="64"/>
      <c r="N296" s="64"/>
      <c r="O296" s="64"/>
      <c r="P296" s="4"/>
      <c r="Q296" s="4"/>
      <c r="R296" s="4"/>
      <c r="S296" s="4"/>
      <c r="T296" s="4"/>
      <c r="U296" s="4"/>
      <c r="V296" s="8">
        <f t="shared" si="12"/>
        <v>147034207705388</v>
      </c>
      <c r="W296" s="5" t="str">
        <f t="shared" si="7"/>
        <v>nops</v>
      </c>
      <c r="X296" s="67"/>
      <c r="Y296" s="4"/>
      <c r="Z296" s="4"/>
      <c r="AA296" s="4"/>
    </row>
    <row r="297" ht="19.5" customHeight="1">
      <c r="A297" s="56" t="s">
        <v>28</v>
      </c>
      <c r="B297" s="57">
        <v>278.0</v>
      </c>
      <c r="C297" s="58">
        <f t="shared" si="8"/>
        <v>244135745876740</v>
      </c>
      <c r="D297" s="58">
        <f t="shared" si="9"/>
        <v>26157401343936</v>
      </c>
      <c r="E297" s="59"/>
      <c r="F297" s="60" t="str">
        <f t="shared" si="1"/>
        <v>-</v>
      </c>
      <c r="G297" s="5" t="str">
        <f t="shared" si="2"/>
        <v>nops</v>
      </c>
      <c r="H297" s="83"/>
      <c r="I297" s="62" t="str">
        <f t="shared" si="10"/>
        <v/>
      </c>
      <c r="J297" s="62" t="str">
        <f t="shared" si="3"/>
        <v/>
      </c>
      <c r="K297" s="68" t="str">
        <f t="shared" si="11"/>
        <v/>
      </c>
      <c r="L297" s="64"/>
      <c r="M297" s="64"/>
      <c r="N297" s="64"/>
      <c r="O297" s="64"/>
      <c r="P297" s="4"/>
      <c r="Q297" s="4"/>
      <c r="R297" s="4"/>
      <c r="S297" s="4"/>
      <c r="T297" s="4"/>
      <c r="U297" s="4"/>
      <c r="V297" s="8">
        <f t="shared" si="12"/>
        <v>164678312630034</v>
      </c>
      <c r="W297" s="5" t="str">
        <f t="shared" si="7"/>
        <v>nops</v>
      </c>
      <c r="X297" s="67"/>
      <c r="Y297" s="4"/>
      <c r="Z297" s="4"/>
      <c r="AA297" s="4"/>
    </row>
    <row r="298" ht="19.5" customHeight="1">
      <c r="A298" s="56" t="s">
        <v>28</v>
      </c>
      <c r="B298" s="57">
        <v>279.0</v>
      </c>
      <c r="C298" s="58">
        <f t="shared" si="8"/>
        <v>273432035381949</v>
      </c>
      <c r="D298" s="58">
        <f t="shared" si="9"/>
        <v>29296289505209</v>
      </c>
      <c r="E298" s="59"/>
      <c r="F298" s="60" t="str">
        <f t="shared" si="1"/>
        <v>-</v>
      </c>
      <c r="G298" s="5" t="str">
        <f t="shared" si="2"/>
        <v>nops</v>
      </c>
      <c r="H298" s="83"/>
      <c r="I298" s="62" t="str">
        <f t="shared" si="10"/>
        <v/>
      </c>
      <c r="J298" s="62" t="str">
        <f t="shared" si="3"/>
        <v/>
      </c>
      <c r="K298" s="68" t="str">
        <f t="shared" si="11"/>
        <v/>
      </c>
      <c r="L298" s="64"/>
      <c r="M298" s="64"/>
      <c r="N298" s="64"/>
      <c r="O298" s="64"/>
      <c r="P298" s="4"/>
      <c r="Q298" s="4"/>
      <c r="R298" s="4"/>
      <c r="S298" s="4"/>
      <c r="T298" s="4"/>
      <c r="U298" s="4"/>
      <c r="V298" s="8">
        <f t="shared" si="12"/>
        <v>184439710145638</v>
      </c>
      <c r="W298" s="5" t="str">
        <f t="shared" si="7"/>
        <v>nops</v>
      </c>
      <c r="X298" s="67"/>
      <c r="Y298" s="4"/>
      <c r="Z298" s="4"/>
      <c r="AA298" s="4"/>
    </row>
    <row r="299" ht="19.5" customHeight="1">
      <c r="A299" s="56" t="s">
        <v>28</v>
      </c>
      <c r="B299" s="57">
        <v>280.0</v>
      </c>
      <c r="C299" s="58">
        <f t="shared" si="8"/>
        <v>306243879627783</v>
      </c>
      <c r="D299" s="58">
        <f t="shared" si="9"/>
        <v>32811844245834</v>
      </c>
      <c r="E299" s="59"/>
      <c r="F299" s="60" t="str">
        <f t="shared" si="1"/>
        <v>-</v>
      </c>
      <c r="G299" s="5" t="str">
        <f t="shared" si="2"/>
        <v>nops</v>
      </c>
      <c r="H299" s="83"/>
      <c r="I299" s="62" t="str">
        <f t="shared" si="10"/>
        <v/>
      </c>
      <c r="J299" s="62" t="str">
        <f t="shared" si="3"/>
        <v/>
      </c>
      <c r="K299" s="68" t="str">
        <f t="shared" si="11"/>
        <v/>
      </c>
      <c r="L299" s="64"/>
      <c r="M299" s="64"/>
      <c r="N299" s="64"/>
      <c r="O299" s="64"/>
      <c r="P299" s="4"/>
      <c r="Q299" s="4"/>
      <c r="R299" s="4"/>
      <c r="S299" s="4"/>
      <c r="T299" s="4"/>
      <c r="U299" s="4"/>
      <c r="V299" s="8">
        <f t="shared" si="12"/>
        <v>206572475363115</v>
      </c>
      <c r="W299" s="5" t="str">
        <f t="shared" si="7"/>
        <v>nops</v>
      </c>
      <c r="X299" s="67"/>
      <c r="Y299" s="4"/>
      <c r="Z299" s="4"/>
      <c r="AA299" s="4"/>
    </row>
    <row r="300" ht="19.5" customHeight="1">
      <c r="A300" s="56" t="s">
        <v>28</v>
      </c>
      <c r="B300" s="57">
        <v>281.0</v>
      </c>
      <c r="C300" s="58">
        <f t="shared" si="8"/>
        <v>342993145183116</v>
      </c>
      <c r="D300" s="58">
        <f t="shared" si="9"/>
        <v>36749265555334</v>
      </c>
      <c r="E300" s="59"/>
      <c r="F300" s="60" t="str">
        <f t="shared" si="1"/>
        <v>-</v>
      </c>
      <c r="G300" s="5" t="str">
        <f t="shared" si="2"/>
        <v>nops</v>
      </c>
      <c r="H300" s="83"/>
      <c r="I300" s="62" t="str">
        <f t="shared" si="10"/>
        <v/>
      </c>
      <c r="J300" s="62" t="str">
        <f t="shared" si="3"/>
        <v/>
      </c>
      <c r="K300" s="68" t="str">
        <f t="shared" si="11"/>
        <v/>
      </c>
      <c r="L300" s="64"/>
      <c r="M300" s="64"/>
      <c r="N300" s="64"/>
      <c r="O300" s="64"/>
      <c r="P300" s="4"/>
      <c r="Q300" s="4"/>
      <c r="R300" s="4"/>
      <c r="S300" s="4"/>
      <c r="T300" s="4"/>
      <c r="U300" s="4"/>
      <c r="V300" s="8">
        <f t="shared" si="12"/>
        <v>231361172406689</v>
      </c>
      <c r="W300" s="5" t="str">
        <f t="shared" si="7"/>
        <v>nops</v>
      </c>
      <c r="X300" s="67"/>
      <c r="Y300" s="4"/>
      <c r="Z300" s="4"/>
      <c r="AA300" s="4"/>
    </row>
    <row r="301" ht="19.5" customHeight="1">
      <c r="A301" s="56" t="s">
        <v>28</v>
      </c>
      <c r="B301" s="57">
        <v>282.0</v>
      </c>
      <c r="C301" s="58">
        <f t="shared" si="8"/>
        <v>384152322605090</v>
      </c>
      <c r="D301" s="58">
        <f t="shared" si="9"/>
        <v>41159177421974</v>
      </c>
      <c r="E301" s="59"/>
      <c r="F301" s="60" t="str">
        <f t="shared" si="1"/>
        <v>-</v>
      </c>
      <c r="G301" s="5" t="str">
        <f t="shared" si="2"/>
        <v>nops</v>
      </c>
      <c r="H301" s="83"/>
      <c r="I301" s="62" t="str">
        <f t="shared" si="10"/>
        <v/>
      </c>
      <c r="J301" s="62" t="str">
        <f t="shared" si="3"/>
        <v/>
      </c>
      <c r="K301" s="68" t="str">
        <f t="shared" si="11"/>
        <v/>
      </c>
      <c r="L301" s="64"/>
      <c r="M301" s="64"/>
      <c r="N301" s="64"/>
      <c r="O301" s="64"/>
      <c r="P301" s="4"/>
      <c r="Q301" s="4"/>
      <c r="R301" s="4"/>
      <c r="S301" s="4"/>
      <c r="T301" s="4"/>
      <c r="U301" s="4"/>
      <c r="V301" s="8">
        <f t="shared" si="12"/>
        <v>259124513095491</v>
      </c>
      <c r="W301" s="5" t="str">
        <f t="shared" si="7"/>
        <v>nops</v>
      </c>
      <c r="X301" s="67"/>
      <c r="Y301" s="4"/>
      <c r="Z301" s="4"/>
      <c r="AA301" s="4"/>
    </row>
    <row r="302" ht="19.5" customHeight="1">
      <c r="A302" s="56" t="s">
        <v>28</v>
      </c>
      <c r="B302" s="57">
        <v>283.0</v>
      </c>
      <c r="C302" s="58">
        <f t="shared" si="8"/>
        <v>430250601317701</v>
      </c>
      <c r="D302" s="58">
        <f t="shared" si="9"/>
        <v>46098278712611</v>
      </c>
      <c r="E302" s="59"/>
      <c r="F302" s="60" t="str">
        <f t="shared" si="1"/>
        <v>-</v>
      </c>
      <c r="G302" s="5" t="str">
        <f t="shared" si="2"/>
        <v>nops</v>
      </c>
      <c r="H302" s="83"/>
      <c r="I302" s="62" t="str">
        <f t="shared" si="10"/>
        <v/>
      </c>
      <c r="J302" s="62" t="str">
        <f t="shared" si="3"/>
        <v/>
      </c>
      <c r="K302" s="68" t="str">
        <f t="shared" si="11"/>
        <v/>
      </c>
      <c r="L302" s="64"/>
      <c r="M302" s="64"/>
      <c r="N302" s="64"/>
      <c r="O302" s="64"/>
      <c r="P302" s="4"/>
      <c r="Q302" s="4"/>
      <c r="R302" s="4"/>
      <c r="S302" s="4"/>
      <c r="T302" s="4"/>
      <c r="U302" s="4"/>
      <c r="V302" s="8">
        <f t="shared" si="12"/>
        <v>290219454666950</v>
      </c>
      <c r="W302" s="5" t="str">
        <f t="shared" si="7"/>
        <v>nops</v>
      </c>
      <c r="X302" s="67"/>
      <c r="Y302" s="4"/>
      <c r="Z302" s="4"/>
      <c r="AA302" s="4"/>
    </row>
    <row r="303" ht="19.5" customHeight="1">
      <c r="A303" s="56" t="s">
        <v>28</v>
      </c>
      <c r="B303" s="57">
        <v>284.0</v>
      </c>
      <c r="C303" s="58">
        <f t="shared" si="8"/>
        <v>481880673475825</v>
      </c>
      <c r="D303" s="58">
        <f t="shared" si="9"/>
        <v>51630072158124</v>
      </c>
      <c r="E303" s="59"/>
      <c r="F303" s="60" t="str">
        <f t="shared" si="1"/>
        <v>-</v>
      </c>
      <c r="G303" s="5" t="str">
        <f t="shared" si="2"/>
        <v>nops</v>
      </c>
      <c r="H303" s="83"/>
      <c r="I303" s="62" t="str">
        <f t="shared" si="10"/>
        <v/>
      </c>
      <c r="J303" s="62" t="str">
        <f t="shared" si="3"/>
        <v/>
      </c>
      <c r="K303" s="68" t="str">
        <f t="shared" si="11"/>
        <v/>
      </c>
      <c r="L303" s="64"/>
      <c r="M303" s="64"/>
      <c r="N303" s="64"/>
      <c r="O303" s="64"/>
      <c r="P303" s="4"/>
      <c r="Q303" s="4"/>
      <c r="R303" s="4"/>
      <c r="S303" s="4"/>
      <c r="T303" s="4"/>
      <c r="U303" s="4"/>
      <c r="V303" s="8">
        <f t="shared" si="12"/>
        <v>325045789226984</v>
      </c>
      <c r="W303" s="5" t="str">
        <f t="shared" si="7"/>
        <v>nops</v>
      </c>
      <c r="X303" s="67"/>
      <c r="Y303" s="4"/>
      <c r="Z303" s="4"/>
      <c r="AA303" s="4"/>
    </row>
    <row r="304" ht="19.5" customHeight="1">
      <c r="A304" s="56" t="s">
        <v>28</v>
      </c>
      <c r="B304" s="57">
        <v>285.0</v>
      </c>
      <c r="C304" s="58">
        <f t="shared" si="8"/>
        <v>539706354292924</v>
      </c>
      <c r="D304" s="58">
        <f t="shared" si="9"/>
        <v>57825680817099</v>
      </c>
      <c r="E304" s="59"/>
      <c r="F304" s="60" t="str">
        <f t="shared" si="1"/>
        <v>-</v>
      </c>
      <c r="G304" s="5" t="str">
        <f t="shared" si="2"/>
        <v>nops</v>
      </c>
      <c r="H304" s="83"/>
      <c r="I304" s="62" t="str">
        <f t="shared" si="10"/>
        <v/>
      </c>
      <c r="J304" s="62" t="str">
        <f t="shared" si="3"/>
        <v/>
      </c>
      <c r="K304" s="68" t="str">
        <f t="shared" si="11"/>
        <v/>
      </c>
      <c r="L304" s="64"/>
      <c r="M304" s="64"/>
      <c r="N304" s="64"/>
      <c r="O304" s="64"/>
      <c r="P304" s="4"/>
      <c r="Q304" s="4"/>
      <c r="R304" s="4"/>
      <c r="S304" s="4"/>
      <c r="T304" s="4"/>
      <c r="U304" s="4"/>
      <c r="V304" s="8">
        <f t="shared" si="12"/>
        <v>364051283934222</v>
      </c>
      <c r="W304" s="5" t="str">
        <f t="shared" si="7"/>
        <v>nops</v>
      </c>
      <c r="X304" s="67"/>
      <c r="Y304" s="4"/>
      <c r="Z304" s="4"/>
      <c r="AA304" s="4"/>
    </row>
    <row r="305" ht="19.5" customHeight="1">
      <c r="A305" s="56" t="s">
        <v>28</v>
      </c>
      <c r="B305" s="57">
        <v>286.0</v>
      </c>
      <c r="C305" s="58">
        <f t="shared" si="8"/>
        <v>604471116808075</v>
      </c>
      <c r="D305" s="58">
        <f t="shared" si="9"/>
        <v>64764762515151</v>
      </c>
      <c r="E305" s="59"/>
      <c r="F305" s="60" t="str">
        <f t="shared" si="1"/>
        <v>-</v>
      </c>
      <c r="G305" s="5" t="str">
        <f t="shared" si="2"/>
        <v>nops</v>
      </c>
      <c r="H305" s="83"/>
      <c r="I305" s="62" t="str">
        <f t="shared" si="10"/>
        <v/>
      </c>
      <c r="J305" s="62" t="str">
        <f t="shared" si="3"/>
        <v/>
      </c>
      <c r="K305" s="68" t="str">
        <f t="shared" si="11"/>
        <v/>
      </c>
      <c r="L305" s="64"/>
      <c r="M305" s="64"/>
      <c r="N305" s="64"/>
      <c r="O305" s="64"/>
      <c r="P305" s="4"/>
      <c r="Q305" s="4"/>
      <c r="R305" s="4"/>
      <c r="S305" s="4"/>
      <c r="T305" s="4"/>
      <c r="U305" s="4"/>
      <c r="V305" s="8">
        <f t="shared" si="12"/>
        <v>407737438006329</v>
      </c>
      <c r="W305" s="5" t="str">
        <f t="shared" si="7"/>
        <v>nops</v>
      </c>
      <c r="X305" s="67"/>
      <c r="Y305" s="4"/>
      <c r="Z305" s="4"/>
      <c r="AA305" s="4"/>
    </row>
    <row r="306" ht="19.5" customHeight="1">
      <c r="A306" s="56" t="s">
        <v>28</v>
      </c>
      <c r="B306" s="57">
        <v>287.0</v>
      </c>
      <c r="C306" s="58">
        <f t="shared" si="8"/>
        <v>677007650825044</v>
      </c>
      <c r="D306" s="58">
        <f t="shared" si="9"/>
        <v>72536534016969</v>
      </c>
      <c r="E306" s="59"/>
      <c r="F306" s="60" t="str">
        <f t="shared" si="1"/>
        <v>-</v>
      </c>
      <c r="G306" s="5" t="str">
        <f t="shared" si="2"/>
        <v>nops</v>
      </c>
      <c r="H306" s="83"/>
      <c r="I306" s="62" t="str">
        <f t="shared" si="10"/>
        <v/>
      </c>
      <c r="J306" s="62" t="str">
        <f t="shared" si="3"/>
        <v/>
      </c>
      <c r="K306" s="68" t="str">
        <f t="shared" si="11"/>
        <v/>
      </c>
      <c r="L306" s="64"/>
      <c r="M306" s="64"/>
      <c r="N306" s="64"/>
      <c r="O306" s="64"/>
      <c r="P306" s="4"/>
      <c r="Q306" s="4"/>
      <c r="R306" s="4"/>
      <c r="S306" s="4"/>
      <c r="T306" s="4"/>
      <c r="U306" s="4"/>
      <c r="V306" s="8">
        <f t="shared" si="12"/>
        <v>456665930567089</v>
      </c>
      <c r="W306" s="5" t="str">
        <f t="shared" si="7"/>
        <v>nops</v>
      </c>
      <c r="X306" s="67"/>
      <c r="Y306" s="4"/>
      <c r="Z306" s="4"/>
      <c r="AA306" s="4"/>
    </row>
    <row r="307" ht="19.5" customHeight="1">
      <c r="A307" s="56" t="s">
        <v>28</v>
      </c>
      <c r="B307" s="57">
        <v>288.0</v>
      </c>
      <c r="C307" s="58">
        <f t="shared" si="8"/>
        <v>758248568924049</v>
      </c>
      <c r="D307" s="58">
        <f t="shared" si="9"/>
        <v>81240918099005</v>
      </c>
      <c r="E307" s="59"/>
      <c r="F307" s="60" t="str">
        <f t="shared" si="1"/>
        <v>-</v>
      </c>
      <c r="G307" s="5" t="str">
        <f t="shared" si="2"/>
        <v>nops</v>
      </c>
      <c r="H307" s="83"/>
      <c r="I307" s="62" t="str">
        <f t="shared" si="10"/>
        <v/>
      </c>
      <c r="J307" s="62" t="str">
        <f t="shared" si="3"/>
        <v/>
      </c>
      <c r="K307" s="68" t="str">
        <f t="shared" si="11"/>
        <v/>
      </c>
      <c r="L307" s="64"/>
      <c r="M307" s="64"/>
      <c r="N307" s="64"/>
      <c r="O307" s="64"/>
      <c r="P307" s="4"/>
      <c r="Q307" s="4"/>
      <c r="R307" s="4"/>
      <c r="S307" s="4"/>
      <c r="T307" s="4"/>
      <c r="U307" s="4"/>
      <c r="V307" s="8">
        <f t="shared" si="12"/>
        <v>511465842235139</v>
      </c>
      <c r="W307" s="5" t="str">
        <f t="shared" si="7"/>
        <v>nops</v>
      </c>
      <c r="X307" s="67"/>
      <c r="Y307" s="4"/>
      <c r="Z307" s="4"/>
      <c r="AA307" s="4"/>
    </row>
    <row r="308" ht="19.5" customHeight="1">
      <c r="A308" s="56" t="s">
        <v>28</v>
      </c>
      <c r="B308" s="57">
        <v>289.0</v>
      </c>
      <c r="C308" s="58">
        <f t="shared" si="8"/>
        <v>849238397194935</v>
      </c>
      <c r="D308" s="58">
        <f t="shared" si="9"/>
        <v>90989828270886</v>
      </c>
      <c r="E308" s="59"/>
      <c r="F308" s="60" t="str">
        <f t="shared" si="1"/>
        <v>-</v>
      </c>
      <c r="G308" s="5" t="str">
        <f t="shared" si="2"/>
        <v>nops</v>
      </c>
      <c r="H308" s="83"/>
      <c r="I308" s="62" t="str">
        <f t="shared" si="10"/>
        <v/>
      </c>
      <c r="J308" s="62" t="str">
        <f t="shared" si="3"/>
        <v/>
      </c>
      <c r="K308" s="68" t="str">
        <f t="shared" si="11"/>
        <v/>
      </c>
      <c r="L308" s="64"/>
      <c r="M308" s="64"/>
      <c r="N308" s="64"/>
      <c r="O308" s="64"/>
      <c r="P308" s="4"/>
      <c r="Q308" s="4"/>
      <c r="R308" s="4"/>
      <c r="S308" s="4"/>
      <c r="T308" s="4"/>
      <c r="U308" s="4"/>
      <c r="V308" s="8">
        <f t="shared" si="12"/>
        <v>572841743303356</v>
      </c>
      <c r="W308" s="5" t="str">
        <f t="shared" si="7"/>
        <v>nops</v>
      </c>
      <c r="X308" s="67"/>
      <c r="Y308" s="4"/>
      <c r="Z308" s="4"/>
      <c r="AA308" s="4"/>
    </row>
    <row r="309" ht="19.5" customHeight="1">
      <c r="A309" s="56" t="s">
        <v>28</v>
      </c>
      <c r="B309" s="57">
        <v>290.0</v>
      </c>
      <c r="C309" s="58">
        <f t="shared" si="8"/>
        <v>951147004858328</v>
      </c>
      <c r="D309" s="58">
        <f t="shared" si="9"/>
        <v>101908607663392</v>
      </c>
      <c r="E309" s="59"/>
      <c r="F309" s="60" t="str">
        <f t="shared" si="1"/>
        <v>-</v>
      </c>
      <c r="G309" s="5" t="str">
        <f t="shared" si="2"/>
        <v>nops</v>
      </c>
      <c r="H309" s="83"/>
      <c r="I309" s="62" t="str">
        <f t="shared" si="10"/>
        <v/>
      </c>
      <c r="J309" s="62" t="str">
        <f t="shared" si="3"/>
        <v/>
      </c>
      <c r="K309" s="68" t="str">
        <f t="shared" si="11"/>
        <v/>
      </c>
      <c r="L309" s="64"/>
      <c r="M309" s="64"/>
      <c r="N309" s="64"/>
      <c r="O309" s="64"/>
      <c r="P309" s="4"/>
      <c r="Q309" s="4"/>
      <c r="R309" s="4"/>
      <c r="S309" s="4"/>
      <c r="T309" s="4"/>
      <c r="U309" s="4"/>
      <c r="V309" s="8">
        <f t="shared" si="12"/>
        <v>641582752499759</v>
      </c>
      <c r="W309" s="5" t="str">
        <f t="shared" si="7"/>
        <v>nops</v>
      </c>
      <c r="X309" s="67"/>
      <c r="Y309" s="4"/>
      <c r="Z309" s="4"/>
      <c r="AA309" s="4"/>
    </row>
    <row r="310" ht="19.5" customHeight="1">
      <c r="A310" s="56" t="s">
        <v>28</v>
      </c>
      <c r="B310" s="57">
        <v>291.0</v>
      </c>
      <c r="C310" s="58">
        <f t="shared" si="8"/>
        <v>1.06528E+15</v>
      </c>
      <c r="D310" s="58">
        <f t="shared" si="9"/>
        <v>114137640582999</v>
      </c>
      <c r="E310" s="59"/>
      <c r="F310" s="60" t="str">
        <f t="shared" si="1"/>
        <v>-</v>
      </c>
      <c r="G310" s="5" t="str">
        <f t="shared" si="2"/>
        <v>nops</v>
      </c>
      <c r="H310" s="83"/>
      <c r="I310" s="62" t="str">
        <f t="shared" si="10"/>
        <v/>
      </c>
      <c r="J310" s="62" t="str">
        <f t="shared" si="3"/>
        <v/>
      </c>
      <c r="K310" s="68" t="str">
        <f t="shared" si="11"/>
        <v/>
      </c>
      <c r="L310" s="64"/>
      <c r="M310" s="64"/>
      <c r="N310" s="64"/>
      <c r="O310" s="64"/>
      <c r="P310" s="4"/>
      <c r="Q310" s="4"/>
      <c r="R310" s="4"/>
      <c r="S310" s="4"/>
      <c r="T310" s="4"/>
      <c r="U310" s="4"/>
      <c r="V310" s="8">
        <f t="shared" si="12"/>
        <v>718572682799730</v>
      </c>
      <c r="W310" s="5" t="str">
        <f t="shared" si="7"/>
        <v>nops</v>
      </c>
      <c r="X310" s="67"/>
      <c r="Y310" s="4"/>
      <c r="Z310" s="4"/>
      <c r="AA310" s="4"/>
    </row>
    <row r="311" ht="19.5" customHeight="1">
      <c r="A311" s="56" t="s">
        <v>28</v>
      </c>
      <c r="B311" s="57">
        <v>292.0</v>
      </c>
      <c r="C311" s="58">
        <f t="shared" si="8"/>
        <v>1.19312E+15</v>
      </c>
      <c r="D311" s="58">
        <f t="shared" si="9"/>
        <v>127834157452959</v>
      </c>
      <c r="E311" s="59"/>
      <c r="F311" s="60" t="str">
        <f t="shared" si="1"/>
        <v>-</v>
      </c>
      <c r="G311" s="5" t="str">
        <f t="shared" si="2"/>
        <v>nops</v>
      </c>
      <c r="H311" s="83"/>
      <c r="I311" s="62" t="str">
        <f t="shared" si="10"/>
        <v/>
      </c>
      <c r="J311" s="62" t="str">
        <f t="shared" si="3"/>
        <v/>
      </c>
      <c r="K311" s="68" t="str">
        <f t="shared" si="11"/>
        <v/>
      </c>
      <c r="L311" s="64"/>
      <c r="M311" s="64"/>
      <c r="N311" s="64"/>
      <c r="O311" s="64"/>
      <c r="P311" s="4"/>
      <c r="Q311" s="4"/>
      <c r="R311" s="4"/>
      <c r="S311" s="4"/>
      <c r="T311" s="4"/>
      <c r="U311" s="4"/>
      <c r="V311" s="8">
        <f t="shared" si="12"/>
        <v>804801404735697</v>
      </c>
      <c r="W311" s="5" t="str">
        <f t="shared" si="7"/>
        <v>nops</v>
      </c>
      <c r="X311" s="67"/>
      <c r="Y311" s="4"/>
      <c r="Z311" s="4"/>
      <c r="AA311" s="4"/>
    </row>
    <row r="312" ht="19.5" customHeight="1">
      <c r="A312" s="56" t="s">
        <v>28</v>
      </c>
      <c r="B312" s="57">
        <v>293.0</v>
      </c>
      <c r="C312" s="58">
        <f t="shared" si="8"/>
        <v>1.33629E+15</v>
      </c>
      <c r="D312" s="58">
        <f t="shared" si="9"/>
        <v>143174256347314</v>
      </c>
      <c r="E312" s="59"/>
      <c r="F312" s="60" t="str">
        <f t="shared" si="1"/>
        <v>-</v>
      </c>
      <c r="G312" s="5" t="str">
        <f t="shared" si="2"/>
        <v>nops</v>
      </c>
      <c r="H312" s="83"/>
      <c r="I312" s="62" t="str">
        <f t="shared" si="10"/>
        <v/>
      </c>
      <c r="J312" s="62" t="str">
        <f t="shared" si="3"/>
        <v/>
      </c>
      <c r="K312" s="68" t="str">
        <f t="shared" si="11"/>
        <v/>
      </c>
      <c r="L312" s="64"/>
      <c r="M312" s="64"/>
      <c r="N312" s="64"/>
      <c r="O312" s="64"/>
      <c r="P312" s="4"/>
      <c r="Q312" s="4"/>
      <c r="R312" s="4"/>
      <c r="S312" s="4"/>
      <c r="T312" s="4"/>
      <c r="U312" s="4"/>
      <c r="V312" s="8">
        <f t="shared" si="12"/>
        <v>901377573303981</v>
      </c>
      <c r="W312" s="5" t="str">
        <f t="shared" si="7"/>
        <v>nops</v>
      </c>
      <c r="X312" s="67"/>
      <c r="Y312" s="4"/>
      <c r="Z312" s="4"/>
      <c r="AA312" s="4"/>
    </row>
    <row r="313" ht="19.5" customHeight="1">
      <c r="A313" s="56" t="s">
        <v>28</v>
      </c>
      <c r="B313" s="57">
        <v>294.0</v>
      </c>
      <c r="C313" s="58">
        <f t="shared" si="8"/>
        <v>1.49665E+15</v>
      </c>
      <c r="D313" s="58">
        <f t="shared" si="9"/>
        <v>160355167108992</v>
      </c>
      <c r="E313" s="59"/>
      <c r="F313" s="60" t="str">
        <f t="shared" si="1"/>
        <v>-</v>
      </c>
      <c r="G313" s="5" t="str">
        <f t="shared" si="2"/>
        <v>nops</v>
      </c>
      <c r="H313" s="83"/>
      <c r="I313" s="62" t="str">
        <f t="shared" si="10"/>
        <v/>
      </c>
      <c r="J313" s="62" t="str">
        <f t="shared" si="3"/>
        <v/>
      </c>
      <c r="K313" s="68" t="str">
        <f t="shared" si="11"/>
        <v/>
      </c>
      <c r="L313" s="64"/>
      <c r="M313" s="64"/>
      <c r="N313" s="64"/>
      <c r="O313" s="64"/>
      <c r="P313" s="4"/>
      <c r="Q313" s="4"/>
      <c r="R313" s="4"/>
      <c r="S313" s="4"/>
      <c r="T313" s="4"/>
      <c r="U313" s="4"/>
      <c r="V313" s="8">
        <f t="shared" si="12"/>
        <v>1.00954E+15</v>
      </c>
      <c r="W313" s="5" t="str">
        <f t="shared" si="7"/>
        <v>nops</v>
      </c>
      <c r="X313" s="67"/>
      <c r="Y313" s="4"/>
      <c r="Z313" s="4"/>
      <c r="AA313" s="4"/>
    </row>
    <row r="314" ht="19.5" customHeight="1">
      <c r="A314" s="56" t="s">
        <v>28</v>
      </c>
      <c r="B314" s="57">
        <v>295.0</v>
      </c>
      <c r="C314" s="58">
        <f t="shared" si="8"/>
        <v>1.67625E+15</v>
      </c>
      <c r="D314" s="58">
        <f t="shared" si="9"/>
        <v>179597787162071</v>
      </c>
      <c r="E314" s="59"/>
      <c r="F314" s="60" t="str">
        <f t="shared" si="1"/>
        <v>-</v>
      </c>
      <c r="G314" s="5" t="str">
        <f t="shared" si="2"/>
        <v>nops</v>
      </c>
      <c r="H314" s="83"/>
      <c r="I314" s="62" t="str">
        <f t="shared" si="10"/>
        <v/>
      </c>
      <c r="J314" s="62" t="str">
        <f t="shared" si="3"/>
        <v/>
      </c>
      <c r="K314" s="68" t="str">
        <f t="shared" si="11"/>
        <v/>
      </c>
      <c r="L314" s="64"/>
      <c r="M314" s="64"/>
      <c r="N314" s="64"/>
      <c r="O314" s="64"/>
      <c r="P314" s="4"/>
      <c r="Q314" s="4"/>
      <c r="R314" s="4"/>
      <c r="S314" s="4"/>
      <c r="T314" s="4"/>
      <c r="U314" s="4"/>
      <c r="V314" s="8">
        <f t="shared" si="12"/>
        <v>1.13069E+15</v>
      </c>
      <c r="W314" s="5" t="str">
        <f t="shared" si="7"/>
        <v>nops</v>
      </c>
      <c r="X314" s="67"/>
      <c r="Y314" s="4"/>
      <c r="Z314" s="4"/>
      <c r="AA314" s="4"/>
    </row>
    <row r="315" ht="19.5" customHeight="1">
      <c r="A315" s="56" t="s">
        <v>28</v>
      </c>
      <c r="B315" s="57">
        <v>296.0</v>
      </c>
      <c r="C315" s="58">
        <f t="shared" si="8"/>
        <v>1.8774E+15</v>
      </c>
      <c r="D315" s="58">
        <f t="shared" si="9"/>
        <v>201149521621520</v>
      </c>
      <c r="E315" s="59"/>
      <c r="F315" s="60" t="str">
        <f t="shared" si="1"/>
        <v>-</v>
      </c>
      <c r="G315" s="5" t="str">
        <f t="shared" si="2"/>
        <v>nops</v>
      </c>
      <c r="H315" s="83"/>
      <c r="I315" s="62" t="str">
        <f t="shared" si="10"/>
        <v/>
      </c>
      <c r="J315" s="62" t="str">
        <f t="shared" si="3"/>
        <v/>
      </c>
      <c r="K315" s="68" t="str">
        <f t="shared" si="11"/>
        <v/>
      </c>
      <c r="L315" s="64"/>
      <c r="M315" s="64"/>
      <c r="N315" s="64"/>
      <c r="O315" s="64"/>
      <c r="P315" s="4"/>
      <c r="Q315" s="4"/>
      <c r="R315" s="4"/>
      <c r="S315" s="4"/>
      <c r="T315" s="4"/>
      <c r="U315" s="4"/>
      <c r="V315" s="8">
        <f t="shared" si="12"/>
        <v>1.26637E+15</v>
      </c>
      <c r="W315" s="5" t="str">
        <f t="shared" si="7"/>
        <v>nops</v>
      </c>
      <c r="X315" s="67"/>
      <c r="Y315" s="4"/>
      <c r="Z315" s="4"/>
      <c r="AA315" s="4"/>
    </row>
    <row r="316" ht="19.5" customHeight="1">
      <c r="A316" s="56" t="s">
        <v>28</v>
      </c>
      <c r="B316" s="57">
        <v>297.0</v>
      </c>
      <c r="C316" s="58">
        <f t="shared" si="8"/>
        <v>2.10268E+15</v>
      </c>
      <c r="D316" s="58">
        <f t="shared" si="9"/>
        <v>225287464216102</v>
      </c>
      <c r="E316" s="59"/>
      <c r="F316" s="60" t="str">
        <f t="shared" si="1"/>
        <v>-</v>
      </c>
      <c r="G316" s="5" t="str">
        <f t="shared" si="2"/>
        <v>nops</v>
      </c>
      <c r="H316" s="83"/>
      <c r="I316" s="62" t="str">
        <f t="shared" si="10"/>
        <v/>
      </c>
      <c r="J316" s="62" t="str">
        <f t="shared" si="3"/>
        <v/>
      </c>
      <c r="K316" s="68" t="str">
        <f t="shared" si="11"/>
        <v/>
      </c>
      <c r="L316" s="64"/>
      <c r="M316" s="64"/>
      <c r="N316" s="64"/>
      <c r="O316" s="64"/>
      <c r="P316" s="4"/>
      <c r="Q316" s="4"/>
      <c r="R316" s="4"/>
      <c r="S316" s="4"/>
      <c r="T316" s="4"/>
      <c r="U316" s="4"/>
      <c r="V316" s="8">
        <f t="shared" si="12"/>
        <v>1.41834E+15</v>
      </c>
      <c r="W316" s="5" t="str">
        <f t="shared" si="7"/>
        <v>nops</v>
      </c>
      <c r="X316" s="67"/>
      <c r="Y316" s="4"/>
      <c r="Z316" s="4"/>
      <c r="AA316" s="4"/>
    </row>
    <row r="317" ht="19.5" customHeight="1">
      <c r="A317" s="56" t="s">
        <v>28</v>
      </c>
      <c r="B317" s="57">
        <v>298.0</v>
      </c>
      <c r="C317" s="58">
        <f t="shared" si="8"/>
        <v>2.355E+15</v>
      </c>
      <c r="D317" s="58">
        <f t="shared" si="9"/>
        <v>252321959922034</v>
      </c>
      <c r="E317" s="59"/>
      <c r="F317" s="60" t="str">
        <f t="shared" si="1"/>
        <v>-</v>
      </c>
      <c r="G317" s="5" t="str">
        <f t="shared" si="2"/>
        <v>nops</v>
      </c>
      <c r="H317" s="83"/>
      <c r="I317" s="62" t="str">
        <f t="shared" si="10"/>
        <v/>
      </c>
      <c r="J317" s="62" t="str">
        <f t="shared" si="3"/>
        <v/>
      </c>
      <c r="K317" s="68" t="str">
        <f t="shared" si="11"/>
        <v/>
      </c>
      <c r="L317" s="64"/>
      <c r="M317" s="64"/>
      <c r="N317" s="64"/>
      <c r="O317" s="64"/>
      <c r="P317" s="4"/>
      <c r="Q317" s="4"/>
      <c r="R317" s="4"/>
      <c r="S317" s="4"/>
      <c r="T317" s="4"/>
      <c r="U317" s="4"/>
      <c r="V317" s="8">
        <f t="shared" si="12"/>
        <v>1.58854E+15</v>
      </c>
      <c r="W317" s="5" t="str">
        <f t="shared" si="7"/>
        <v>nops</v>
      </c>
      <c r="X317" s="67"/>
      <c r="Y317" s="4"/>
      <c r="Z317" s="4"/>
      <c r="AA317" s="4"/>
    </row>
    <row r="318" ht="19.5" customHeight="1">
      <c r="A318" s="56" t="s">
        <v>28</v>
      </c>
      <c r="B318" s="57">
        <v>299.0</v>
      </c>
      <c r="C318" s="58">
        <f t="shared" si="8"/>
        <v>2.63761E+15</v>
      </c>
      <c r="D318" s="58">
        <f t="shared" si="9"/>
        <v>282600595112678</v>
      </c>
      <c r="E318" s="59"/>
      <c r="F318" s="60" t="str">
        <f t="shared" si="1"/>
        <v>-</v>
      </c>
      <c r="G318" s="5" t="str">
        <f t="shared" si="2"/>
        <v>nops</v>
      </c>
      <c r="H318" s="83"/>
      <c r="I318" s="62" t="str">
        <f t="shared" si="10"/>
        <v/>
      </c>
      <c r="J318" s="62" t="str">
        <f t="shared" si="3"/>
        <v/>
      </c>
      <c r="K318" s="68" t="str">
        <f t="shared" si="11"/>
        <v/>
      </c>
      <c r="L318" s="64"/>
      <c r="M318" s="64"/>
      <c r="N318" s="64"/>
      <c r="O318" s="64"/>
      <c r="P318" s="4"/>
      <c r="Q318" s="4"/>
      <c r="R318" s="4"/>
      <c r="S318" s="4"/>
      <c r="T318" s="4"/>
      <c r="U318" s="4"/>
      <c r="V318" s="8">
        <f t="shared" si="12"/>
        <v>1.77916E+15</v>
      </c>
      <c r="W318" s="5" t="str">
        <f t="shared" si="7"/>
        <v>nops</v>
      </c>
      <c r="X318" s="67"/>
      <c r="Y318" s="4"/>
      <c r="Z318" s="4"/>
      <c r="AA318" s="4"/>
    </row>
    <row r="319" ht="19.5" customHeight="1">
      <c r="A319" s="56" t="s">
        <v>28</v>
      </c>
      <c r="B319" s="57">
        <v>300.0</v>
      </c>
      <c r="C319" s="58">
        <f t="shared" si="8"/>
        <v>2.95412E+15</v>
      </c>
      <c r="D319" s="58">
        <f t="shared" si="9"/>
        <v>316512666526200</v>
      </c>
      <c r="E319" s="59"/>
      <c r="F319" s="60" t="str">
        <f t="shared" si="1"/>
        <v>-</v>
      </c>
      <c r="G319" s="5" t="str">
        <f t="shared" si="2"/>
        <v>nops</v>
      </c>
      <c r="H319" s="83"/>
      <c r="I319" s="62" t="str">
        <f t="shared" si="10"/>
        <v/>
      </c>
      <c r="J319" s="62" t="str">
        <f t="shared" si="3"/>
        <v/>
      </c>
      <c r="K319" s="68" t="str">
        <f t="shared" si="11"/>
        <v/>
      </c>
      <c r="L319" s="64"/>
      <c r="M319" s="64"/>
      <c r="N319" s="64"/>
      <c r="O319" s="64"/>
      <c r="P319" s="4"/>
      <c r="Q319" s="4"/>
      <c r="R319" s="4"/>
      <c r="S319" s="4"/>
      <c r="T319" s="4"/>
      <c r="U319" s="4"/>
      <c r="V319" s="8">
        <f t="shared" si="12"/>
        <v>1.99266E+15</v>
      </c>
      <c r="W319" s="5" t="str">
        <f t="shared" si="7"/>
        <v>nops</v>
      </c>
      <c r="X319" s="67"/>
      <c r="Y319" s="4"/>
      <c r="Z319" s="4"/>
      <c r="AA319" s="4"/>
    </row>
    <row r="320" ht="19.5" customHeight="1">
      <c r="A320" s="56" t="s">
        <v>28</v>
      </c>
      <c r="B320" s="57">
        <v>301.0</v>
      </c>
      <c r="C320" s="58">
        <f t="shared" si="8"/>
        <v>3.30861E+15</v>
      </c>
      <c r="D320" s="58">
        <f t="shared" si="9"/>
        <v>354494186509344</v>
      </c>
      <c r="E320" s="59"/>
      <c r="F320" s="60" t="str">
        <f t="shared" si="1"/>
        <v>-</v>
      </c>
      <c r="G320" s="5" t="str">
        <f t="shared" si="2"/>
        <v>nops</v>
      </c>
      <c r="H320" s="83"/>
      <c r="I320" s="62" t="str">
        <f t="shared" si="10"/>
        <v/>
      </c>
      <c r="J320" s="62" t="str">
        <f t="shared" si="3"/>
        <v/>
      </c>
      <c r="K320" s="68" t="str">
        <f t="shared" si="11"/>
        <v/>
      </c>
      <c r="L320" s="64"/>
      <c r="M320" s="64"/>
      <c r="N320" s="64"/>
      <c r="O320" s="64"/>
      <c r="P320" s="4"/>
      <c r="Q320" s="4"/>
      <c r="R320" s="4"/>
      <c r="S320" s="4"/>
      <c r="T320" s="4"/>
      <c r="U320" s="4"/>
      <c r="V320" s="8">
        <f t="shared" si="12"/>
        <v>2.23178E+15</v>
      </c>
      <c r="W320" s="5" t="str">
        <f t="shared" si="7"/>
        <v>nops</v>
      </c>
      <c r="X320" s="67"/>
      <c r="Y320" s="4"/>
      <c r="Z320" s="4"/>
      <c r="AA320" s="4"/>
    </row>
    <row r="321" ht="19.5" customHeight="1">
      <c r="A321" s="56" t="s">
        <v>28</v>
      </c>
      <c r="B321" s="57">
        <v>302.0</v>
      </c>
      <c r="C321" s="58">
        <f t="shared" si="8"/>
        <v>3.70565E+15</v>
      </c>
      <c r="D321" s="58">
        <f t="shared" si="9"/>
        <v>397033488890465</v>
      </c>
      <c r="E321" s="59"/>
      <c r="F321" s="60" t="str">
        <f t="shared" si="1"/>
        <v>-</v>
      </c>
      <c r="G321" s="5" t="str">
        <f t="shared" si="2"/>
        <v>nops</v>
      </c>
      <c r="H321" s="83"/>
      <c r="I321" s="62" t="str">
        <f t="shared" si="10"/>
        <v/>
      </c>
      <c r="J321" s="62" t="str">
        <f t="shared" si="3"/>
        <v/>
      </c>
      <c r="K321" s="68" t="str">
        <f t="shared" si="11"/>
        <v/>
      </c>
      <c r="L321" s="64"/>
      <c r="M321" s="64"/>
      <c r="N321" s="64"/>
      <c r="O321" s="64"/>
      <c r="P321" s="4"/>
      <c r="Q321" s="4"/>
      <c r="R321" s="4"/>
      <c r="S321" s="4"/>
      <c r="T321" s="4"/>
      <c r="U321" s="4"/>
      <c r="V321" s="8">
        <f t="shared" si="12"/>
        <v>2.49959E+15</v>
      </c>
      <c r="W321" s="5" t="str">
        <f t="shared" si="7"/>
        <v>nops</v>
      </c>
      <c r="X321" s="67"/>
      <c r="Y321" s="4"/>
      <c r="Z321" s="4"/>
      <c r="AA321" s="4"/>
    </row>
    <row r="322" ht="19.5" customHeight="1">
      <c r="A322" s="56" t="s">
        <v>28</v>
      </c>
      <c r="B322" s="57">
        <v>303.0</v>
      </c>
      <c r="C322" s="58">
        <f t="shared" si="8"/>
        <v>4.15032E+15</v>
      </c>
      <c r="D322" s="58">
        <f t="shared" si="9"/>
        <v>444677507557321</v>
      </c>
      <c r="E322" s="59"/>
      <c r="F322" s="60" t="str">
        <f t="shared" si="1"/>
        <v>-</v>
      </c>
      <c r="G322" s="5" t="str">
        <f t="shared" si="2"/>
        <v>nops</v>
      </c>
      <c r="H322" s="83"/>
      <c r="I322" s="62" t="str">
        <f t="shared" si="10"/>
        <v/>
      </c>
      <c r="J322" s="62" t="str">
        <f t="shared" si="3"/>
        <v/>
      </c>
      <c r="K322" s="68" t="str">
        <f t="shared" si="11"/>
        <v/>
      </c>
      <c r="L322" s="64"/>
      <c r="M322" s="64"/>
      <c r="N322" s="64"/>
      <c r="O322" s="64"/>
      <c r="P322" s="4"/>
      <c r="Q322" s="4"/>
      <c r="R322" s="4"/>
      <c r="S322" s="4"/>
      <c r="T322" s="4"/>
      <c r="U322" s="4"/>
      <c r="V322" s="8">
        <f t="shared" si="12"/>
        <v>2.79954E+15</v>
      </c>
      <c r="W322" s="5" t="str">
        <f t="shared" si="7"/>
        <v>nops</v>
      </c>
      <c r="X322" s="67"/>
      <c r="Y322" s="4"/>
      <c r="Z322" s="4"/>
      <c r="AA322" s="4"/>
    </row>
    <row r="323" ht="19.5" customHeight="1">
      <c r="A323" s="56" t="s">
        <v>28</v>
      </c>
      <c r="B323" s="57">
        <v>304.0</v>
      </c>
      <c r="C323" s="58">
        <f t="shared" si="8"/>
        <v>4.64836E+15</v>
      </c>
      <c r="D323" s="58">
        <f t="shared" si="9"/>
        <v>498038808464200</v>
      </c>
      <c r="E323" s="59"/>
      <c r="F323" s="60" t="str">
        <f t="shared" si="1"/>
        <v>-</v>
      </c>
      <c r="G323" s="5" t="str">
        <f t="shared" si="2"/>
        <v>nops</v>
      </c>
      <c r="H323" s="83"/>
      <c r="I323" s="62" t="str">
        <f t="shared" si="10"/>
        <v/>
      </c>
      <c r="J323" s="62" t="str">
        <f t="shared" si="3"/>
        <v/>
      </c>
      <c r="K323" s="68" t="str">
        <f t="shared" si="11"/>
        <v/>
      </c>
      <c r="L323" s="64"/>
      <c r="M323" s="64"/>
      <c r="N323" s="64"/>
      <c r="O323" s="64"/>
      <c r="P323" s="4"/>
      <c r="Q323" s="4"/>
      <c r="R323" s="4"/>
      <c r="S323" s="4"/>
      <c r="T323" s="4"/>
      <c r="U323" s="4"/>
      <c r="V323" s="8">
        <f t="shared" si="12"/>
        <v>3.13549E+15</v>
      </c>
      <c r="W323" s="5" t="str">
        <f t="shared" si="7"/>
        <v>nops</v>
      </c>
      <c r="X323" s="67"/>
      <c r="Y323" s="4"/>
      <c r="Z323" s="4"/>
      <c r="AA323" s="4"/>
    </row>
    <row r="324" ht="19.5" customHeight="1">
      <c r="A324" s="56" t="s">
        <v>28</v>
      </c>
      <c r="B324" s="57">
        <v>305.0</v>
      </c>
      <c r="C324" s="58">
        <f t="shared" si="8"/>
        <v>5.20617E+15</v>
      </c>
      <c r="D324" s="58">
        <f t="shared" si="9"/>
        <v>557803465479903</v>
      </c>
      <c r="E324" s="59"/>
      <c r="F324" s="60" t="str">
        <f t="shared" si="1"/>
        <v>-</v>
      </c>
      <c r="G324" s="5" t="str">
        <f t="shared" si="2"/>
        <v>nops</v>
      </c>
      <c r="H324" s="83"/>
      <c r="I324" s="62" t="str">
        <f t="shared" si="10"/>
        <v/>
      </c>
      <c r="J324" s="62" t="str">
        <f t="shared" si="3"/>
        <v/>
      </c>
      <c r="K324" s="68" t="str">
        <f t="shared" si="11"/>
        <v/>
      </c>
      <c r="L324" s="64"/>
      <c r="M324" s="64"/>
      <c r="N324" s="64"/>
      <c r="O324" s="64"/>
      <c r="P324" s="4"/>
      <c r="Q324" s="4"/>
      <c r="R324" s="4"/>
      <c r="S324" s="4"/>
      <c r="T324" s="4"/>
      <c r="U324" s="4"/>
      <c r="V324" s="8">
        <f t="shared" si="12"/>
        <v>3.51175E+15</v>
      </c>
      <c r="W324" s="5" t="str">
        <f t="shared" si="7"/>
        <v>nops</v>
      </c>
      <c r="X324" s="67"/>
      <c r="Y324" s="4"/>
      <c r="Z324" s="4"/>
      <c r="AA324" s="4"/>
    </row>
    <row r="325" ht="19.5" customHeight="1">
      <c r="A325" s="56" t="s">
        <v>28</v>
      </c>
      <c r="B325" s="57">
        <v>306.0</v>
      </c>
      <c r="C325" s="58">
        <f t="shared" si="8"/>
        <v>5.83091E+15</v>
      </c>
      <c r="D325" s="58">
        <f t="shared" si="9"/>
        <v>624739881337491</v>
      </c>
      <c r="E325" s="59"/>
      <c r="F325" s="60" t="str">
        <f t="shared" si="1"/>
        <v>-</v>
      </c>
      <c r="G325" s="5" t="str">
        <f t="shared" si="2"/>
        <v>nops</v>
      </c>
      <c r="H325" s="83"/>
      <c r="I325" s="62" t="str">
        <f t="shared" si="10"/>
        <v/>
      </c>
      <c r="J325" s="62" t="str">
        <f t="shared" si="3"/>
        <v/>
      </c>
      <c r="K325" s="68" t="str">
        <f t="shared" si="11"/>
        <v/>
      </c>
      <c r="L325" s="64"/>
      <c r="M325" s="64"/>
      <c r="N325" s="64"/>
      <c r="O325" s="64"/>
      <c r="P325" s="4"/>
      <c r="Q325" s="4"/>
      <c r="R325" s="4"/>
      <c r="S325" s="4"/>
      <c r="T325" s="4"/>
      <c r="U325" s="4"/>
      <c r="V325" s="8">
        <f t="shared" si="12"/>
        <v>3.93315E+15</v>
      </c>
      <c r="W325" s="5" t="str">
        <f t="shared" si="7"/>
        <v>nops</v>
      </c>
      <c r="X325" s="67"/>
      <c r="Y325" s="4"/>
      <c r="Z325" s="4"/>
      <c r="AA325" s="4"/>
    </row>
    <row r="326" ht="19.5" customHeight="1">
      <c r="A326" s="56" t="s">
        <v>28</v>
      </c>
      <c r="B326" s="57">
        <v>307.0</v>
      </c>
      <c r="C326" s="58">
        <f t="shared" si="8"/>
        <v>6.53061E+15</v>
      </c>
      <c r="D326" s="58">
        <f t="shared" si="9"/>
        <v>699708667097990</v>
      </c>
      <c r="E326" s="59"/>
      <c r="F326" s="60" t="str">
        <f t="shared" si="1"/>
        <v>-</v>
      </c>
      <c r="G326" s="5" t="str">
        <f t="shared" si="2"/>
        <v>nops</v>
      </c>
      <c r="H326" s="83"/>
      <c r="I326" s="62" t="str">
        <f t="shared" si="10"/>
        <v/>
      </c>
      <c r="J326" s="62" t="str">
        <f t="shared" si="3"/>
        <v/>
      </c>
      <c r="K326" s="68" t="str">
        <f t="shared" si="11"/>
        <v/>
      </c>
      <c r="L326" s="64"/>
      <c r="M326" s="64"/>
      <c r="N326" s="64"/>
      <c r="O326" s="64"/>
      <c r="P326" s="4"/>
      <c r="Q326" s="4"/>
      <c r="R326" s="4"/>
      <c r="S326" s="4"/>
      <c r="T326" s="4"/>
      <c r="U326" s="4"/>
      <c r="V326" s="8">
        <f t="shared" si="12"/>
        <v>4.40513E+15</v>
      </c>
      <c r="W326" s="5" t="str">
        <f t="shared" si="7"/>
        <v>nops</v>
      </c>
      <c r="X326" s="67"/>
      <c r="Y326" s="4"/>
      <c r="Z326" s="4"/>
      <c r="AA326" s="4"/>
    </row>
    <row r="327" ht="19.5" customHeight="1">
      <c r="A327" s="56" t="s">
        <v>28</v>
      </c>
      <c r="B327" s="57">
        <v>308.0</v>
      </c>
      <c r="C327" s="58">
        <f t="shared" si="8"/>
        <v>7.31429E+15</v>
      </c>
      <c r="D327" s="58">
        <f t="shared" si="9"/>
        <v>783673707149749</v>
      </c>
      <c r="E327" s="59"/>
      <c r="F327" s="60" t="str">
        <f t="shared" si="1"/>
        <v>-</v>
      </c>
      <c r="G327" s="5" t="str">
        <f t="shared" si="2"/>
        <v>nops</v>
      </c>
      <c r="H327" s="83"/>
      <c r="I327" s="62" t="str">
        <f t="shared" si="10"/>
        <v/>
      </c>
      <c r="J327" s="62" t="str">
        <f t="shared" si="3"/>
        <v/>
      </c>
      <c r="K327" s="68" t="str">
        <f t="shared" si="11"/>
        <v/>
      </c>
      <c r="L327" s="64"/>
      <c r="M327" s="64"/>
      <c r="N327" s="64"/>
      <c r="O327" s="64"/>
      <c r="P327" s="4"/>
      <c r="Q327" s="4"/>
      <c r="R327" s="4"/>
      <c r="S327" s="4"/>
      <c r="T327" s="4"/>
      <c r="U327" s="4"/>
      <c r="V327" s="8">
        <f t="shared" si="12"/>
        <v>4.93375E+15</v>
      </c>
      <c r="W327" s="5" t="str">
        <f t="shared" si="7"/>
        <v>nops</v>
      </c>
      <c r="X327" s="67"/>
      <c r="Y327" s="4"/>
      <c r="Z327" s="4"/>
      <c r="AA327" s="4"/>
    </row>
    <row r="328" ht="19.5" customHeight="1">
      <c r="A328" s="56" t="s">
        <v>28</v>
      </c>
      <c r="B328" s="57">
        <v>309.0</v>
      </c>
      <c r="C328" s="58">
        <f t="shared" si="8"/>
        <v>8.192E+15</v>
      </c>
      <c r="D328" s="58">
        <f t="shared" si="9"/>
        <v>877714552007719</v>
      </c>
      <c r="E328" s="59"/>
      <c r="F328" s="60" t="str">
        <f t="shared" si="1"/>
        <v>-</v>
      </c>
      <c r="G328" s="5" t="str">
        <f t="shared" si="2"/>
        <v>nops</v>
      </c>
      <c r="H328" s="83"/>
      <c r="I328" s="62" t="str">
        <f t="shared" si="10"/>
        <v/>
      </c>
      <c r="J328" s="62" t="str">
        <f t="shared" si="3"/>
        <v/>
      </c>
      <c r="K328" s="68" t="str">
        <f t="shared" si="11"/>
        <v/>
      </c>
      <c r="L328" s="64"/>
      <c r="M328" s="64"/>
      <c r="N328" s="64"/>
      <c r="O328" s="64"/>
      <c r="P328" s="4"/>
      <c r="Q328" s="4"/>
      <c r="R328" s="4"/>
      <c r="S328" s="4"/>
      <c r="T328" s="4"/>
      <c r="U328" s="4"/>
      <c r="V328" s="8">
        <f t="shared" si="12"/>
        <v>5.5258E+15</v>
      </c>
      <c r="W328" s="5" t="str">
        <f t="shared" si="7"/>
        <v>nops</v>
      </c>
      <c r="X328" s="67"/>
      <c r="Y328" s="4"/>
      <c r="Z328" s="4"/>
      <c r="AA328" s="4"/>
    </row>
    <row r="329" ht="19.5" customHeight="1">
      <c r="A329" s="56" t="s">
        <v>28</v>
      </c>
      <c r="B329" s="57">
        <v>310.0</v>
      </c>
      <c r="C329" s="58">
        <f t="shared" si="8"/>
        <v>9.17504E+15</v>
      </c>
      <c r="D329" s="58">
        <f t="shared" si="9"/>
        <v>983040298248645</v>
      </c>
      <c r="E329" s="59"/>
      <c r="F329" s="60" t="str">
        <f t="shared" si="1"/>
        <v>-</v>
      </c>
      <c r="G329" s="5" t="str">
        <f t="shared" si="2"/>
        <v>nops</v>
      </c>
      <c r="H329" s="83"/>
      <c r="I329" s="62" t="str">
        <f t="shared" si="10"/>
        <v/>
      </c>
      <c r="J329" s="62" t="str">
        <f t="shared" si="3"/>
        <v/>
      </c>
      <c r="K329" s="68" t="str">
        <f t="shared" si="11"/>
        <v/>
      </c>
      <c r="L329" s="64"/>
      <c r="M329" s="64"/>
      <c r="N329" s="64"/>
      <c r="O329" s="64"/>
      <c r="P329" s="4"/>
      <c r="Q329" s="4"/>
      <c r="R329" s="4"/>
      <c r="S329" s="4"/>
      <c r="T329" s="4"/>
      <c r="U329" s="4"/>
      <c r="V329" s="8">
        <f t="shared" si="12"/>
        <v>6.1889E+15</v>
      </c>
      <c r="W329" s="5" t="str">
        <f t="shared" si="7"/>
        <v>nops</v>
      </c>
      <c r="X329" s="67"/>
      <c r="Y329" s="4"/>
      <c r="Z329" s="4"/>
      <c r="AA329" s="4"/>
    </row>
    <row r="330" ht="19.5" customHeight="1">
      <c r="A330" s="56" t="s">
        <v>28</v>
      </c>
      <c r="B330" s="57">
        <v>311.0</v>
      </c>
      <c r="C330" s="58">
        <f t="shared" si="8"/>
        <v>1.0276E+16</v>
      </c>
      <c r="D330" s="58">
        <f t="shared" si="9"/>
        <v>1.10101E+15</v>
      </c>
      <c r="E330" s="59"/>
      <c r="F330" s="60" t="str">
        <f t="shared" si="1"/>
        <v>-</v>
      </c>
      <c r="G330" s="5" t="str">
        <f t="shared" si="2"/>
        <v>nops</v>
      </c>
      <c r="H330" s="83"/>
      <c r="I330" s="62" t="str">
        <f t="shared" si="10"/>
        <v/>
      </c>
      <c r="J330" s="62" t="str">
        <f t="shared" si="3"/>
        <v/>
      </c>
      <c r="K330" s="68" t="str">
        <f t="shared" si="11"/>
        <v/>
      </c>
      <c r="L330" s="64"/>
      <c r="M330" s="64"/>
      <c r="N330" s="64"/>
      <c r="O330" s="64"/>
      <c r="P330" s="4"/>
      <c r="Q330" s="4"/>
      <c r="R330" s="4"/>
      <c r="S330" s="4"/>
      <c r="T330" s="4"/>
      <c r="U330" s="4"/>
      <c r="V330" s="8">
        <f t="shared" si="12"/>
        <v>6.93156E+15</v>
      </c>
      <c r="W330" s="5" t="str">
        <f t="shared" si="7"/>
        <v>nops</v>
      </c>
      <c r="X330" s="67"/>
      <c r="Y330" s="4"/>
      <c r="Z330" s="4"/>
      <c r="AA330" s="4"/>
    </row>
    <row r="331" ht="19.5" customHeight="1">
      <c r="A331" s="56" t="s">
        <v>28</v>
      </c>
      <c r="B331" s="57">
        <v>312.0</v>
      </c>
      <c r="C331" s="58">
        <f t="shared" si="8"/>
        <v>1.15092E+16</v>
      </c>
      <c r="D331" s="58">
        <f t="shared" si="9"/>
        <v>1.23313E+15</v>
      </c>
      <c r="E331" s="59"/>
      <c r="F331" s="60" t="str">
        <f t="shared" si="1"/>
        <v>-</v>
      </c>
      <c r="G331" s="5" t="str">
        <f t="shared" si="2"/>
        <v>nops</v>
      </c>
      <c r="H331" s="83"/>
      <c r="I331" s="62" t="str">
        <f t="shared" si="10"/>
        <v/>
      </c>
      <c r="J331" s="62" t="str">
        <f t="shared" si="3"/>
        <v/>
      </c>
      <c r="K331" s="68" t="str">
        <f t="shared" si="11"/>
        <v/>
      </c>
      <c r="L331" s="64"/>
      <c r="M331" s="64"/>
      <c r="N331" s="64"/>
      <c r="O331" s="64"/>
      <c r="P331" s="4"/>
      <c r="Q331" s="4"/>
      <c r="R331" s="4"/>
      <c r="S331" s="4"/>
      <c r="T331" s="4"/>
      <c r="U331" s="4"/>
      <c r="V331" s="8">
        <f t="shared" si="12"/>
        <v>7.76335E+15</v>
      </c>
      <c r="W331" s="5" t="str">
        <f t="shared" si="7"/>
        <v>nops</v>
      </c>
      <c r="X331" s="67"/>
      <c r="Y331" s="4"/>
      <c r="Z331" s="4"/>
      <c r="AA331" s="4"/>
    </row>
    <row r="332" ht="19.5" customHeight="1">
      <c r="A332" s="56" t="s">
        <v>28</v>
      </c>
      <c r="B332" s="57">
        <v>313.0</v>
      </c>
      <c r="C332" s="58">
        <f t="shared" si="8"/>
        <v>1.28903E+16</v>
      </c>
      <c r="D332" s="58">
        <f t="shared" si="9"/>
        <v>1.3811E+15</v>
      </c>
      <c r="E332" s="59"/>
      <c r="F332" s="60" t="str">
        <f t="shared" si="1"/>
        <v>-</v>
      </c>
      <c r="G332" s="5" t="str">
        <f t="shared" si="2"/>
        <v>nops</v>
      </c>
      <c r="H332" s="83"/>
      <c r="I332" s="62" t="str">
        <f t="shared" si="10"/>
        <v/>
      </c>
      <c r="J332" s="62" t="str">
        <f t="shared" si="3"/>
        <v/>
      </c>
      <c r="K332" s="68" t="str">
        <f t="shared" si="11"/>
        <v/>
      </c>
      <c r="L332" s="64"/>
      <c r="M332" s="64"/>
      <c r="N332" s="64"/>
      <c r="O332" s="64"/>
      <c r="P332" s="4"/>
      <c r="Q332" s="4"/>
      <c r="R332" s="4"/>
      <c r="S332" s="4"/>
      <c r="T332" s="4"/>
      <c r="U332" s="4"/>
      <c r="V332" s="8">
        <f t="shared" si="12"/>
        <v>8.69495E+15</v>
      </c>
      <c r="W332" s="5" t="str">
        <f t="shared" si="7"/>
        <v>nops</v>
      </c>
      <c r="X332" s="67"/>
      <c r="Y332" s="4"/>
      <c r="Z332" s="4"/>
      <c r="AA332" s="4"/>
    </row>
    <row r="333" ht="19.5" customHeight="1">
      <c r="A333" s="56" t="s">
        <v>28</v>
      </c>
      <c r="B333" s="57">
        <v>314.0</v>
      </c>
      <c r="C333" s="58">
        <f t="shared" si="8"/>
        <v>1.44371E+16</v>
      </c>
      <c r="D333" s="58">
        <f t="shared" si="9"/>
        <v>1.54683E+15</v>
      </c>
      <c r="E333" s="59"/>
      <c r="F333" s="60" t="str">
        <f t="shared" si="1"/>
        <v>-</v>
      </c>
      <c r="G333" s="5" t="str">
        <f t="shared" si="2"/>
        <v>nops</v>
      </c>
      <c r="H333" s="83"/>
      <c r="I333" s="62" t="str">
        <f t="shared" si="10"/>
        <v/>
      </c>
      <c r="J333" s="62" t="str">
        <f t="shared" si="3"/>
        <v/>
      </c>
      <c r="K333" s="68" t="str">
        <f t="shared" si="11"/>
        <v/>
      </c>
      <c r="L333" s="64"/>
      <c r="M333" s="64"/>
      <c r="N333" s="64"/>
      <c r="O333" s="64"/>
      <c r="P333" s="4"/>
      <c r="Q333" s="4"/>
      <c r="R333" s="4"/>
      <c r="S333" s="4"/>
      <c r="T333" s="4"/>
      <c r="U333" s="4"/>
      <c r="V333" s="8">
        <f t="shared" si="12"/>
        <v>9.73835E+15</v>
      </c>
      <c r="W333" s="5" t="str">
        <f t="shared" si="7"/>
        <v>nops</v>
      </c>
      <c r="X333" s="67"/>
      <c r="Y333" s="4"/>
      <c r="Z333" s="4"/>
      <c r="AA333" s="4"/>
    </row>
    <row r="334" ht="19.5" customHeight="1">
      <c r="A334" s="56" t="s">
        <v>28</v>
      </c>
      <c r="B334" s="57">
        <v>315.0</v>
      </c>
      <c r="C334" s="58">
        <f t="shared" si="8"/>
        <v>1.61696E+16</v>
      </c>
      <c r="D334" s="58">
        <f t="shared" si="9"/>
        <v>1.73245E+15</v>
      </c>
      <c r="E334" s="59"/>
      <c r="F334" s="60" t="str">
        <f t="shared" si="1"/>
        <v>-</v>
      </c>
      <c r="G334" s="5" t="str">
        <f t="shared" si="2"/>
        <v>nops</v>
      </c>
      <c r="H334" s="83"/>
      <c r="I334" s="62" t="str">
        <f t="shared" si="10"/>
        <v/>
      </c>
      <c r="J334" s="62" t="str">
        <f t="shared" si="3"/>
        <v/>
      </c>
      <c r="K334" s="68" t="str">
        <f t="shared" si="11"/>
        <v/>
      </c>
      <c r="L334" s="64"/>
      <c r="M334" s="64"/>
      <c r="N334" s="64"/>
      <c r="O334" s="64"/>
      <c r="P334" s="4"/>
      <c r="Q334" s="4"/>
      <c r="R334" s="4"/>
      <c r="S334" s="4"/>
      <c r="T334" s="4"/>
      <c r="U334" s="4"/>
      <c r="V334" s="8">
        <f t="shared" si="12"/>
        <v>1.09069E+16</v>
      </c>
      <c r="W334" s="5" t="str">
        <f t="shared" si="7"/>
        <v>nops</v>
      </c>
      <c r="X334" s="67"/>
      <c r="Y334" s="4"/>
      <c r="Z334" s="4"/>
      <c r="AA334" s="4"/>
    </row>
    <row r="335" ht="19.5" customHeight="1">
      <c r="A335" s="56" t="s">
        <v>28</v>
      </c>
      <c r="B335" s="57">
        <v>316.0</v>
      </c>
      <c r="C335" s="58">
        <f t="shared" si="8"/>
        <v>1.81099E+16</v>
      </c>
      <c r="D335" s="58">
        <f t="shared" si="9"/>
        <v>1.94035E+15</v>
      </c>
      <c r="E335" s="59"/>
      <c r="F335" s="60" t="str">
        <f t="shared" si="1"/>
        <v>-</v>
      </c>
      <c r="G335" s="5" t="str">
        <f t="shared" si="2"/>
        <v>nops</v>
      </c>
      <c r="H335" s="83"/>
      <c r="I335" s="62" t="str">
        <f t="shared" si="10"/>
        <v/>
      </c>
      <c r="J335" s="62" t="str">
        <f t="shared" si="3"/>
        <v/>
      </c>
      <c r="K335" s="68" t="str">
        <f t="shared" si="11"/>
        <v/>
      </c>
      <c r="L335" s="64"/>
      <c r="M335" s="64"/>
      <c r="N335" s="64"/>
      <c r="O335" s="64"/>
      <c r="P335" s="4"/>
      <c r="Q335" s="4"/>
      <c r="R335" s="4"/>
      <c r="S335" s="4"/>
      <c r="T335" s="4"/>
      <c r="U335" s="4"/>
      <c r="V335" s="8">
        <f t="shared" si="12"/>
        <v>1.22158E+16</v>
      </c>
      <c r="W335" s="5" t="str">
        <f t="shared" si="7"/>
        <v>nops</v>
      </c>
      <c r="X335" s="67"/>
      <c r="Y335" s="4"/>
      <c r="Z335" s="4"/>
      <c r="AA335" s="4"/>
    </row>
    <row r="336" ht="19.5" customHeight="1">
      <c r="A336" s="56" t="s">
        <v>28</v>
      </c>
      <c r="B336" s="57">
        <v>317.0</v>
      </c>
      <c r="C336" s="58">
        <f t="shared" si="8"/>
        <v>2.02831E+16</v>
      </c>
      <c r="D336" s="58">
        <f t="shared" si="9"/>
        <v>2.17319E+15</v>
      </c>
      <c r="E336" s="59"/>
      <c r="F336" s="60" t="str">
        <f t="shared" si="1"/>
        <v>-</v>
      </c>
      <c r="G336" s="5" t="str">
        <f t="shared" si="2"/>
        <v>nops</v>
      </c>
      <c r="H336" s="83"/>
      <c r="I336" s="62" t="str">
        <f t="shared" si="10"/>
        <v/>
      </c>
      <c r="J336" s="62" t="str">
        <f t="shared" si="3"/>
        <v/>
      </c>
      <c r="K336" s="68" t="str">
        <f t="shared" si="11"/>
        <v/>
      </c>
      <c r="L336" s="64"/>
      <c r="M336" s="64"/>
      <c r="N336" s="64"/>
      <c r="O336" s="64"/>
      <c r="P336" s="4"/>
      <c r="Q336" s="4"/>
      <c r="R336" s="4"/>
      <c r="S336" s="4"/>
      <c r="T336" s="4"/>
      <c r="U336" s="4"/>
      <c r="V336" s="8">
        <f t="shared" si="12"/>
        <v>1.36817E+16</v>
      </c>
      <c r="W336" s="5" t="str">
        <f t="shared" si="7"/>
        <v>nops</v>
      </c>
      <c r="X336" s="67"/>
      <c r="Y336" s="4"/>
      <c r="Z336" s="4"/>
      <c r="AA336" s="4"/>
    </row>
    <row r="337" ht="19.5" customHeight="1">
      <c r="A337" s="56" t="s">
        <v>28</v>
      </c>
      <c r="B337" s="57">
        <v>318.0</v>
      </c>
      <c r="C337" s="58">
        <f t="shared" si="8"/>
        <v>2.27171E+16</v>
      </c>
      <c r="D337" s="58">
        <f t="shared" si="9"/>
        <v>2.43397E+15</v>
      </c>
      <c r="E337" s="59"/>
      <c r="F337" s="60" t="str">
        <f t="shared" si="1"/>
        <v>-</v>
      </c>
      <c r="G337" s="5" t="str">
        <f t="shared" si="2"/>
        <v>nops</v>
      </c>
      <c r="H337" s="83"/>
      <c r="I337" s="62" t="str">
        <f t="shared" si="10"/>
        <v/>
      </c>
      <c r="J337" s="62" t="str">
        <f t="shared" si="3"/>
        <v/>
      </c>
      <c r="K337" s="68" t="str">
        <f t="shared" si="11"/>
        <v/>
      </c>
      <c r="L337" s="64"/>
      <c r="M337" s="64"/>
      <c r="N337" s="64"/>
      <c r="O337" s="64"/>
      <c r="P337" s="4"/>
      <c r="Q337" s="4"/>
      <c r="R337" s="4"/>
      <c r="S337" s="4"/>
      <c r="T337" s="4"/>
      <c r="U337" s="4"/>
      <c r="V337" s="8">
        <f t="shared" si="12"/>
        <v>1.53235E+16</v>
      </c>
      <c r="W337" s="5" t="str">
        <f t="shared" si="7"/>
        <v>nops</v>
      </c>
      <c r="X337" s="67"/>
      <c r="Y337" s="4"/>
      <c r="Z337" s="4"/>
      <c r="AA337" s="4"/>
    </row>
    <row r="338" ht="19.5" customHeight="1">
      <c r="A338" s="56" t="s">
        <v>28</v>
      </c>
      <c r="B338" s="57">
        <v>319.0</v>
      </c>
      <c r="C338" s="58">
        <f t="shared" si="8"/>
        <v>2.54431E+16</v>
      </c>
      <c r="D338" s="58">
        <f t="shared" si="9"/>
        <v>2.72605E+15</v>
      </c>
      <c r="E338" s="59"/>
      <c r="F338" s="60" t="str">
        <f t="shared" si="1"/>
        <v>-</v>
      </c>
      <c r="G338" s="5" t="str">
        <f t="shared" si="2"/>
        <v>nops</v>
      </c>
      <c r="H338" s="83"/>
      <c r="I338" s="62" t="str">
        <f t="shared" si="10"/>
        <v/>
      </c>
      <c r="J338" s="62" t="str">
        <f t="shared" si="3"/>
        <v/>
      </c>
      <c r="K338" s="68" t="str">
        <f t="shared" si="11"/>
        <v/>
      </c>
      <c r="L338" s="64"/>
      <c r="M338" s="64"/>
      <c r="N338" s="64"/>
      <c r="O338" s="64"/>
      <c r="P338" s="4"/>
      <c r="Q338" s="4"/>
      <c r="R338" s="4"/>
      <c r="S338" s="4"/>
      <c r="T338" s="4"/>
      <c r="U338" s="4"/>
      <c r="V338" s="8">
        <f t="shared" si="12"/>
        <v>1.71623E+16</v>
      </c>
      <c r="W338" s="5" t="str">
        <f t="shared" si="7"/>
        <v>nops</v>
      </c>
      <c r="X338" s="67"/>
      <c r="Y338" s="4"/>
      <c r="Z338" s="4"/>
      <c r="AA338" s="4"/>
    </row>
    <row r="339" ht="19.5" customHeight="1">
      <c r="A339" s="56" t="s">
        <v>28</v>
      </c>
      <c r="B339" s="57">
        <v>320.0</v>
      </c>
      <c r="C339" s="58">
        <f t="shared" si="8"/>
        <v>2.84963E+16</v>
      </c>
      <c r="D339" s="58">
        <f t="shared" si="9"/>
        <v>3.05317E+15</v>
      </c>
      <c r="E339" s="59"/>
      <c r="F339" s="60" t="str">
        <f t="shared" si="1"/>
        <v>-</v>
      </c>
      <c r="G339" s="5" t="str">
        <f t="shared" si="2"/>
        <v>nops</v>
      </c>
      <c r="H339" s="83"/>
      <c r="I339" s="62" t="str">
        <f t="shared" si="10"/>
        <v/>
      </c>
      <c r="J339" s="62" t="str">
        <f t="shared" si="3"/>
        <v/>
      </c>
      <c r="K339" s="68" t="str">
        <f t="shared" si="11"/>
        <v/>
      </c>
      <c r="L339" s="64"/>
      <c r="M339" s="64"/>
      <c r="N339" s="64"/>
      <c r="O339" s="64"/>
      <c r="P339" s="4"/>
      <c r="Q339" s="4"/>
      <c r="R339" s="4"/>
      <c r="S339" s="4"/>
      <c r="T339" s="4"/>
      <c r="U339" s="4"/>
      <c r="V339" s="8">
        <f t="shared" si="12"/>
        <v>1.92218E+16</v>
      </c>
      <c r="W339" s="5" t="str">
        <f t="shared" si="7"/>
        <v>nops</v>
      </c>
      <c r="X339" s="67"/>
      <c r="Y339" s="4"/>
      <c r="Z339" s="4"/>
      <c r="AA339" s="4"/>
    </row>
    <row r="340" ht="19.5" customHeight="1">
      <c r="A340" s="56" t="s">
        <v>28</v>
      </c>
      <c r="B340" s="57">
        <v>321.0</v>
      </c>
      <c r="C340" s="58">
        <f t="shared" si="8"/>
        <v>3.19158E+16</v>
      </c>
      <c r="D340" s="58">
        <f t="shared" si="9"/>
        <v>3.41955E+15</v>
      </c>
      <c r="E340" s="59"/>
      <c r="F340" s="60" t="str">
        <f t="shared" si="1"/>
        <v>-</v>
      </c>
      <c r="G340" s="5" t="str">
        <f t="shared" si="2"/>
        <v>nops</v>
      </c>
      <c r="H340" s="83"/>
      <c r="I340" s="62" t="str">
        <f t="shared" si="10"/>
        <v/>
      </c>
      <c r="J340" s="62" t="str">
        <f t="shared" si="3"/>
        <v/>
      </c>
      <c r="K340" s="68" t="str">
        <f t="shared" si="11"/>
        <v/>
      </c>
      <c r="L340" s="64"/>
      <c r="M340" s="64"/>
      <c r="N340" s="64"/>
      <c r="O340" s="64"/>
      <c r="P340" s="4"/>
      <c r="Q340" s="4"/>
      <c r="R340" s="4"/>
      <c r="S340" s="4"/>
      <c r="T340" s="4"/>
      <c r="U340" s="4"/>
      <c r="V340" s="8">
        <f t="shared" si="12"/>
        <v>2.15284E+16</v>
      </c>
      <c r="W340" s="5" t="str">
        <f t="shared" si="7"/>
        <v>nops</v>
      </c>
      <c r="X340" s="67"/>
      <c r="Y340" s="4"/>
      <c r="Z340" s="4"/>
      <c r="AA340" s="4"/>
    </row>
    <row r="341" ht="19.5" customHeight="1">
      <c r="A341" s="56" t="s">
        <v>28</v>
      </c>
      <c r="B341" s="57">
        <v>322.0</v>
      </c>
      <c r="C341" s="58">
        <f t="shared" si="8"/>
        <v>3.57457E+16</v>
      </c>
      <c r="D341" s="58">
        <f t="shared" si="9"/>
        <v>3.8299E+15</v>
      </c>
      <c r="E341" s="59"/>
      <c r="F341" s="60" t="str">
        <f t="shared" si="1"/>
        <v>-</v>
      </c>
      <c r="G341" s="5" t="str">
        <f t="shared" si="2"/>
        <v>nops</v>
      </c>
      <c r="H341" s="83"/>
      <c r="I341" s="62" t="str">
        <f t="shared" si="10"/>
        <v/>
      </c>
      <c r="J341" s="62" t="str">
        <f t="shared" si="3"/>
        <v/>
      </c>
      <c r="K341" s="68" t="str">
        <f t="shared" si="11"/>
        <v/>
      </c>
      <c r="L341" s="64"/>
      <c r="M341" s="64"/>
      <c r="N341" s="64"/>
      <c r="O341" s="64"/>
      <c r="P341" s="4"/>
      <c r="Q341" s="4"/>
      <c r="R341" s="4"/>
      <c r="S341" s="4"/>
      <c r="T341" s="4"/>
      <c r="U341" s="4"/>
      <c r="V341" s="8">
        <f t="shared" si="12"/>
        <v>2.41118E+16</v>
      </c>
      <c r="W341" s="5" t="str">
        <f t="shared" si="7"/>
        <v>nops</v>
      </c>
      <c r="X341" s="67"/>
      <c r="Y341" s="4"/>
      <c r="Z341" s="4"/>
      <c r="AA341" s="4"/>
    </row>
    <row r="342" ht="19.5" customHeight="1">
      <c r="A342" s="56" t="s">
        <v>28</v>
      </c>
      <c r="B342" s="57">
        <v>323.0</v>
      </c>
      <c r="C342" s="58">
        <f t="shared" si="8"/>
        <v>4.00352E+16</v>
      </c>
      <c r="D342" s="58">
        <f t="shared" si="9"/>
        <v>4.28949E+15</v>
      </c>
      <c r="E342" s="59"/>
      <c r="F342" s="60" t="str">
        <f t="shared" si="1"/>
        <v>-</v>
      </c>
      <c r="G342" s="5" t="str">
        <f t="shared" si="2"/>
        <v>nops</v>
      </c>
      <c r="H342" s="83"/>
      <c r="I342" s="62" t="str">
        <f t="shared" si="10"/>
        <v/>
      </c>
      <c r="J342" s="62" t="str">
        <f t="shared" si="3"/>
        <v/>
      </c>
      <c r="K342" s="68" t="str">
        <f t="shared" si="11"/>
        <v/>
      </c>
      <c r="L342" s="64"/>
      <c r="M342" s="64"/>
      <c r="N342" s="64"/>
      <c r="O342" s="64"/>
      <c r="P342" s="4"/>
      <c r="Q342" s="4"/>
      <c r="R342" s="4"/>
      <c r="S342" s="4"/>
      <c r="T342" s="4"/>
      <c r="U342" s="4"/>
      <c r="V342" s="8">
        <f t="shared" si="12"/>
        <v>2.70052E+16</v>
      </c>
      <c r="W342" s="5" t="str">
        <f t="shared" si="7"/>
        <v>nops</v>
      </c>
      <c r="X342" s="67"/>
      <c r="Y342" s="4"/>
      <c r="Z342" s="4"/>
      <c r="AA342" s="4"/>
    </row>
    <row r="343" ht="19.5" customHeight="1">
      <c r="A343" s="56" t="s">
        <v>28</v>
      </c>
      <c r="B343" s="57">
        <v>324.0</v>
      </c>
      <c r="C343" s="58">
        <f t="shared" si="8"/>
        <v>4.48395E+16</v>
      </c>
      <c r="D343" s="58">
        <f t="shared" si="9"/>
        <v>4.80423E+15</v>
      </c>
      <c r="E343" s="59"/>
      <c r="F343" s="60" t="str">
        <f t="shared" si="1"/>
        <v>-</v>
      </c>
      <c r="G343" s="5" t="str">
        <f t="shared" si="2"/>
        <v>nops</v>
      </c>
      <c r="H343" s="83"/>
      <c r="I343" s="62" t="str">
        <f t="shared" si="10"/>
        <v/>
      </c>
      <c r="J343" s="62" t="str">
        <f t="shared" si="3"/>
        <v/>
      </c>
      <c r="K343" s="68" t="str">
        <f t="shared" si="11"/>
        <v/>
      </c>
      <c r="L343" s="64"/>
      <c r="M343" s="64"/>
      <c r="N343" s="64"/>
      <c r="O343" s="64"/>
      <c r="P343" s="4"/>
      <c r="Q343" s="4"/>
      <c r="R343" s="4"/>
      <c r="S343" s="4"/>
      <c r="T343" s="4"/>
      <c r="U343" s="4"/>
      <c r="V343" s="8">
        <f t="shared" si="12"/>
        <v>3.02458E+16</v>
      </c>
      <c r="W343" s="5" t="str">
        <f t="shared" si="7"/>
        <v>nops</v>
      </c>
      <c r="X343" s="67"/>
      <c r="Y343" s="4"/>
      <c r="Z343" s="4"/>
      <c r="AA343" s="4"/>
    </row>
    <row r="344" ht="19.5" customHeight="1">
      <c r="A344" s="56" t="s">
        <v>28</v>
      </c>
      <c r="B344" s="57">
        <v>325.0</v>
      </c>
      <c r="C344" s="58">
        <f t="shared" si="8"/>
        <v>5.02202E+16</v>
      </c>
      <c r="D344" s="58">
        <f t="shared" si="9"/>
        <v>5.38074E+15</v>
      </c>
      <c r="E344" s="59"/>
      <c r="F344" s="60" t="str">
        <f t="shared" si="1"/>
        <v>-</v>
      </c>
      <c r="G344" s="5" t="str">
        <f t="shared" si="2"/>
        <v>nops</v>
      </c>
      <c r="H344" s="83"/>
      <c r="I344" s="62" t="str">
        <f t="shared" si="10"/>
        <v/>
      </c>
      <c r="J344" s="62" t="str">
        <f t="shared" si="3"/>
        <v/>
      </c>
      <c r="K344" s="68" t="str">
        <f t="shared" si="11"/>
        <v/>
      </c>
      <c r="L344" s="64"/>
      <c r="M344" s="64"/>
      <c r="N344" s="64"/>
      <c r="O344" s="64"/>
      <c r="P344" s="4"/>
      <c r="Q344" s="4"/>
      <c r="R344" s="4"/>
      <c r="S344" s="4"/>
      <c r="T344" s="4"/>
      <c r="U344" s="4"/>
      <c r="V344" s="8">
        <f t="shared" si="12"/>
        <v>3.38753E+16</v>
      </c>
      <c r="W344" s="5" t="str">
        <f t="shared" si="7"/>
        <v>nops</v>
      </c>
      <c r="X344" s="67"/>
      <c r="Y344" s="4"/>
      <c r="Z344" s="4"/>
      <c r="AA344" s="4"/>
    </row>
    <row r="345" ht="19.5" customHeight="1">
      <c r="A345" s="56" t="s">
        <v>28</v>
      </c>
      <c r="B345" s="57">
        <v>326.0</v>
      </c>
      <c r="C345" s="58">
        <f t="shared" si="8"/>
        <v>5.62466E+16</v>
      </c>
      <c r="D345" s="58">
        <f t="shared" si="9"/>
        <v>6.02642E+15</v>
      </c>
      <c r="E345" s="59"/>
      <c r="F345" s="60" t="str">
        <f t="shared" si="1"/>
        <v>-</v>
      </c>
      <c r="G345" s="5" t="str">
        <f t="shared" si="2"/>
        <v>nops</v>
      </c>
      <c r="H345" s="83"/>
      <c r="I345" s="62" t="str">
        <f t="shared" si="10"/>
        <v/>
      </c>
      <c r="J345" s="62" t="str">
        <f t="shared" si="3"/>
        <v/>
      </c>
      <c r="K345" s="68" t="str">
        <f t="shared" si="11"/>
        <v/>
      </c>
      <c r="L345" s="64"/>
      <c r="M345" s="64"/>
      <c r="N345" s="64"/>
      <c r="O345" s="64"/>
      <c r="P345" s="4"/>
      <c r="Q345" s="4"/>
      <c r="R345" s="4"/>
      <c r="S345" s="4"/>
      <c r="T345" s="4"/>
      <c r="U345" s="4"/>
      <c r="V345" s="8">
        <f t="shared" si="12"/>
        <v>3.79404E+16</v>
      </c>
      <c r="W345" s="5" t="str">
        <f t="shared" si="7"/>
        <v>nops</v>
      </c>
      <c r="X345" s="67"/>
      <c r="Y345" s="4"/>
      <c r="Z345" s="4"/>
      <c r="AA345" s="4"/>
    </row>
    <row r="346" ht="19.5" customHeight="1">
      <c r="A346" s="56" t="s">
        <v>28</v>
      </c>
      <c r="B346" s="57">
        <v>327.0</v>
      </c>
      <c r="C346" s="58">
        <f t="shared" si="8"/>
        <v>6.29962E+16</v>
      </c>
      <c r="D346" s="58">
        <f t="shared" si="9"/>
        <v>6.74959E+15</v>
      </c>
      <c r="E346" s="59"/>
      <c r="F346" s="60" t="str">
        <f t="shared" si="1"/>
        <v>-</v>
      </c>
      <c r="G346" s="5" t="str">
        <f t="shared" si="2"/>
        <v>nops</v>
      </c>
      <c r="H346" s="83"/>
      <c r="I346" s="62" t="str">
        <f t="shared" si="10"/>
        <v/>
      </c>
      <c r="J346" s="62" t="str">
        <f t="shared" si="3"/>
        <v/>
      </c>
      <c r="K346" s="68" t="str">
        <f t="shared" si="11"/>
        <v/>
      </c>
      <c r="L346" s="64"/>
      <c r="M346" s="64"/>
      <c r="N346" s="64"/>
      <c r="O346" s="64"/>
      <c r="P346" s="4"/>
      <c r="Q346" s="4"/>
      <c r="R346" s="4"/>
      <c r="S346" s="4"/>
      <c r="T346" s="4"/>
      <c r="U346" s="4"/>
      <c r="V346" s="8">
        <f t="shared" si="12"/>
        <v>4.24932E+16</v>
      </c>
      <c r="W346" s="5" t="str">
        <f t="shared" si="7"/>
        <v>nops</v>
      </c>
      <c r="X346" s="67"/>
      <c r="Y346" s="4"/>
      <c r="Z346" s="4"/>
      <c r="AA346" s="4"/>
    </row>
    <row r="347" ht="19.5" customHeight="1">
      <c r="A347" s="56" t="s">
        <v>28</v>
      </c>
      <c r="B347" s="57">
        <v>328.0</v>
      </c>
      <c r="C347" s="58">
        <f t="shared" si="8"/>
        <v>7.05558E+16</v>
      </c>
      <c r="D347" s="58">
        <f t="shared" si="9"/>
        <v>7.55955E+15</v>
      </c>
      <c r="E347" s="59"/>
      <c r="F347" s="60" t="str">
        <f t="shared" si="1"/>
        <v>-</v>
      </c>
      <c r="G347" s="5" t="str">
        <f t="shared" si="2"/>
        <v>nops</v>
      </c>
      <c r="H347" s="83"/>
      <c r="I347" s="62" t="str">
        <f t="shared" si="10"/>
        <v/>
      </c>
      <c r="J347" s="62" t="str">
        <f t="shared" si="3"/>
        <v/>
      </c>
      <c r="K347" s="68" t="str">
        <f t="shared" si="11"/>
        <v/>
      </c>
      <c r="L347" s="64"/>
      <c r="M347" s="64"/>
      <c r="N347" s="64"/>
      <c r="O347" s="64"/>
      <c r="P347" s="4"/>
      <c r="Q347" s="4"/>
      <c r="R347" s="4"/>
      <c r="S347" s="4"/>
      <c r="T347" s="4"/>
      <c r="U347" s="4"/>
      <c r="V347" s="8">
        <f t="shared" si="12"/>
        <v>4.75924E+16</v>
      </c>
      <c r="W347" s="5" t="str">
        <f t="shared" si="7"/>
        <v>nops</v>
      </c>
      <c r="X347" s="67"/>
      <c r="Y347" s="4"/>
      <c r="Z347" s="4"/>
      <c r="AA347" s="4"/>
    </row>
    <row r="348" ht="19.5" customHeight="1">
      <c r="A348" s="56" t="s">
        <v>28</v>
      </c>
      <c r="B348" s="57">
        <v>329.0</v>
      </c>
      <c r="C348" s="58">
        <f t="shared" si="8"/>
        <v>7.90225E+16</v>
      </c>
      <c r="D348" s="58">
        <f t="shared" si="9"/>
        <v>8.46669E+15</v>
      </c>
      <c r="E348" s="59"/>
      <c r="F348" s="60" t="str">
        <f t="shared" si="1"/>
        <v>-</v>
      </c>
      <c r="G348" s="5" t="str">
        <f t="shared" si="2"/>
        <v>nops</v>
      </c>
      <c r="H348" s="83"/>
      <c r="I348" s="62" t="str">
        <f t="shared" si="10"/>
        <v/>
      </c>
      <c r="J348" s="62" t="str">
        <f t="shared" si="3"/>
        <v/>
      </c>
      <c r="K348" s="68" t="str">
        <f t="shared" si="11"/>
        <v/>
      </c>
      <c r="L348" s="64"/>
      <c r="M348" s="64"/>
      <c r="N348" s="64"/>
      <c r="O348" s="64"/>
      <c r="P348" s="4"/>
      <c r="Q348" s="4"/>
      <c r="R348" s="4"/>
      <c r="S348" s="4"/>
      <c r="T348" s="4"/>
      <c r="U348" s="4"/>
      <c r="V348" s="8">
        <f t="shared" si="12"/>
        <v>5.33035E+16</v>
      </c>
      <c r="W348" s="5" t="str">
        <f t="shared" si="7"/>
        <v>nops</v>
      </c>
      <c r="X348" s="67"/>
      <c r="Y348" s="4"/>
      <c r="Z348" s="4"/>
      <c r="AA348" s="4"/>
    </row>
    <row r="349" ht="19.5" customHeight="1">
      <c r="A349" s="56" t="s">
        <v>28</v>
      </c>
      <c r="B349" s="57">
        <v>330.0</v>
      </c>
      <c r="C349" s="58">
        <f t="shared" si="8"/>
        <v>8.85052E+16</v>
      </c>
      <c r="D349" s="58">
        <f t="shared" si="9"/>
        <v>9.48269E+15</v>
      </c>
      <c r="E349" s="59"/>
      <c r="F349" s="60" t="str">
        <f t="shared" si="1"/>
        <v>-</v>
      </c>
      <c r="G349" s="5" t="str">
        <f t="shared" si="2"/>
        <v>nops</v>
      </c>
      <c r="H349" s="83"/>
      <c r="I349" s="62" t="str">
        <f t="shared" si="10"/>
        <v/>
      </c>
      <c r="J349" s="62" t="str">
        <f t="shared" si="3"/>
        <v/>
      </c>
      <c r="K349" s="68" t="str">
        <f t="shared" si="11"/>
        <v/>
      </c>
      <c r="L349" s="64"/>
      <c r="M349" s="64"/>
      <c r="N349" s="64"/>
      <c r="O349" s="64"/>
      <c r="P349" s="4"/>
      <c r="Q349" s="4"/>
      <c r="R349" s="4"/>
      <c r="S349" s="4"/>
      <c r="T349" s="4"/>
      <c r="U349" s="4"/>
      <c r="V349" s="8">
        <f t="shared" si="12"/>
        <v>5.96999E+16</v>
      </c>
      <c r="W349" s="5" t="str">
        <f t="shared" si="7"/>
        <v>nops</v>
      </c>
      <c r="X349" s="67"/>
      <c r="Y349" s="4"/>
      <c r="Z349" s="4"/>
      <c r="AA349" s="4"/>
    </row>
    <row r="350" ht="19.5" customHeight="1">
      <c r="A350" s="56" t="s">
        <v>28</v>
      </c>
      <c r="B350" s="57">
        <v>331.0</v>
      </c>
      <c r="C350" s="58">
        <f t="shared" si="8"/>
        <v>9.91258E+16</v>
      </c>
      <c r="D350" s="58">
        <f t="shared" si="9"/>
        <v>1.06206E+16</v>
      </c>
      <c r="E350" s="59"/>
      <c r="F350" s="60" t="str">
        <f t="shared" si="1"/>
        <v>-</v>
      </c>
      <c r="G350" s="5" t="str">
        <f t="shared" si="2"/>
        <v>nops</v>
      </c>
      <c r="H350" s="83"/>
      <c r="I350" s="62" t="str">
        <f t="shared" si="10"/>
        <v/>
      </c>
      <c r="J350" s="62" t="str">
        <f t="shared" si="3"/>
        <v/>
      </c>
      <c r="K350" s="68" t="str">
        <f t="shared" si="11"/>
        <v/>
      </c>
      <c r="L350" s="64"/>
      <c r="M350" s="64"/>
      <c r="N350" s="64"/>
      <c r="O350" s="64"/>
      <c r="P350" s="4"/>
      <c r="Q350" s="4"/>
      <c r="R350" s="4"/>
      <c r="S350" s="4"/>
      <c r="T350" s="4"/>
      <c r="U350" s="4"/>
      <c r="V350" s="8">
        <f t="shared" si="12"/>
        <v>6.68639E+16</v>
      </c>
      <c r="W350" s="5" t="str">
        <f t="shared" si="7"/>
        <v>nops</v>
      </c>
      <c r="X350" s="67"/>
      <c r="Y350" s="4"/>
      <c r="Z350" s="4"/>
      <c r="AA350" s="4"/>
    </row>
    <row r="351" ht="19.5" customHeight="1">
      <c r="A351" s="56" t="s">
        <v>28</v>
      </c>
      <c r="B351" s="57">
        <v>332.0</v>
      </c>
      <c r="C351" s="58">
        <f t="shared" si="8"/>
        <v>1.11021E+17</v>
      </c>
      <c r="D351" s="58">
        <f t="shared" si="9"/>
        <v>1.18951E+16</v>
      </c>
      <c r="E351" s="59"/>
      <c r="F351" s="60" t="str">
        <f t="shared" si="1"/>
        <v>-</v>
      </c>
      <c r="G351" s="5" t="str">
        <f t="shared" si="2"/>
        <v>nops</v>
      </c>
      <c r="H351" s="83"/>
      <c r="I351" s="62" t="str">
        <f t="shared" si="10"/>
        <v/>
      </c>
      <c r="J351" s="62" t="str">
        <f t="shared" si="3"/>
        <v/>
      </c>
      <c r="K351" s="68" t="str">
        <f t="shared" si="11"/>
        <v/>
      </c>
      <c r="L351" s="64"/>
      <c r="M351" s="64"/>
      <c r="N351" s="64"/>
      <c r="O351" s="64"/>
      <c r="P351" s="4"/>
      <c r="Q351" s="4"/>
      <c r="R351" s="4"/>
      <c r="S351" s="4"/>
      <c r="T351" s="4"/>
      <c r="U351" s="4"/>
      <c r="V351" s="8">
        <f t="shared" si="12"/>
        <v>7.48876E+16</v>
      </c>
      <c r="W351" s="5" t="str">
        <f t="shared" si="7"/>
        <v>nops</v>
      </c>
      <c r="X351" s="67"/>
      <c r="Y351" s="4"/>
      <c r="Z351" s="4"/>
      <c r="AA351" s="4"/>
    </row>
    <row r="352" ht="19.5" customHeight="1">
      <c r="A352" s="56" t="s">
        <v>28</v>
      </c>
      <c r="B352" s="57">
        <v>333.0</v>
      </c>
      <c r="C352" s="58">
        <f t="shared" si="8"/>
        <v>1.24343E+17</v>
      </c>
      <c r="D352" s="58">
        <f t="shared" si="9"/>
        <v>1.33225E+16</v>
      </c>
      <c r="E352" s="59"/>
      <c r="F352" s="60" t="str">
        <f t="shared" si="1"/>
        <v>-</v>
      </c>
      <c r="G352" s="5" t="str">
        <f t="shared" si="2"/>
        <v>nops</v>
      </c>
      <c r="H352" s="83"/>
      <c r="I352" s="62" t="str">
        <f t="shared" si="10"/>
        <v/>
      </c>
      <c r="J352" s="62" t="str">
        <f t="shared" si="3"/>
        <v/>
      </c>
      <c r="K352" s="68" t="str">
        <f t="shared" si="11"/>
        <v/>
      </c>
      <c r="L352" s="64"/>
      <c r="M352" s="64"/>
      <c r="N352" s="64"/>
      <c r="O352" s="64"/>
      <c r="P352" s="4"/>
      <c r="Q352" s="4"/>
      <c r="R352" s="4"/>
      <c r="S352" s="4"/>
      <c r="T352" s="4"/>
      <c r="U352" s="4"/>
      <c r="V352" s="8">
        <f t="shared" si="12"/>
        <v>8.38741E+16</v>
      </c>
      <c r="W352" s="5" t="str">
        <f t="shared" si="7"/>
        <v>nops</v>
      </c>
      <c r="X352" s="67"/>
      <c r="Y352" s="4"/>
      <c r="Z352" s="4"/>
      <c r="AA352" s="4"/>
    </row>
    <row r="353" ht="19.5" customHeight="1">
      <c r="A353" s="56" t="s">
        <v>28</v>
      </c>
      <c r="B353" s="57">
        <v>334.0</v>
      </c>
      <c r="C353" s="58">
        <f t="shared" si="8"/>
        <v>1.39265E+17</v>
      </c>
      <c r="D353" s="58">
        <f t="shared" si="9"/>
        <v>1.49212E+16</v>
      </c>
      <c r="E353" s="59"/>
      <c r="F353" s="60" t="str">
        <f t="shared" si="1"/>
        <v>-</v>
      </c>
      <c r="G353" s="5" t="str">
        <f t="shared" si="2"/>
        <v>nops</v>
      </c>
      <c r="H353" s="83"/>
      <c r="I353" s="62" t="str">
        <f t="shared" si="10"/>
        <v/>
      </c>
      <c r="J353" s="62" t="str">
        <f t="shared" si="3"/>
        <v/>
      </c>
      <c r="K353" s="68" t="str">
        <f t="shared" si="11"/>
        <v/>
      </c>
      <c r="L353" s="64"/>
      <c r="M353" s="64"/>
      <c r="N353" s="64"/>
      <c r="O353" s="64"/>
      <c r="P353" s="4"/>
      <c r="Q353" s="4"/>
      <c r="R353" s="4"/>
      <c r="S353" s="4"/>
      <c r="T353" s="4"/>
      <c r="U353" s="4"/>
      <c r="V353" s="8">
        <f t="shared" si="12"/>
        <v>9.39389E+16</v>
      </c>
      <c r="W353" s="5" t="str">
        <f t="shared" si="7"/>
        <v>nops</v>
      </c>
      <c r="X353" s="67"/>
      <c r="Y353" s="4"/>
      <c r="Z353" s="4"/>
      <c r="AA353" s="4"/>
    </row>
    <row r="354" ht="19.5" customHeight="1">
      <c r="A354" s="56" t="s">
        <v>28</v>
      </c>
      <c r="B354" s="57">
        <v>335.0</v>
      </c>
      <c r="C354" s="58">
        <f t="shared" si="8"/>
        <v>1.55976E+17</v>
      </c>
      <c r="D354" s="58">
        <f t="shared" si="9"/>
        <v>1.67117E+16</v>
      </c>
      <c r="E354" s="59"/>
      <c r="F354" s="60" t="str">
        <f t="shared" si="1"/>
        <v>-</v>
      </c>
      <c r="G354" s="5" t="str">
        <f t="shared" si="2"/>
        <v>nops</v>
      </c>
      <c r="H354" s="83"/>
      <c r="I354" s="62" t="str">
        <f t="shared" si="10"/>
        <v/>
      </c>
      <c r="J354" s="62" t="str">
        <f t="shared" si="3"/>
        <v/>
      </c>
      <c r="K354" s="68" t="str">
        <f t="shared" si="11"/>
        <v/>
      </c>
      <c r="L354" s="64"/>
      <c r="M354" s="64"/>
      <c r="N354" s="64"/>
      <c r="O354" s="64"/>
      <c r="P354" s="4"/>
      <c r="Q354" s="4"/>
      <c r="R354" s="4"/>
      <c r="S354" s="4"/>
      <c r="T354" s="4"/>
      <c r="U354" s="4"/>
      <c r="V354" s="8">
        <f t="shared" si="12"/>
        <v>1.05212E+17</v>
      </c>
      <c r="W354" s="5" t="str">
        <f t="shared" si="7"/>
        <v>nops</v>
      </c>
      <c r="X354" s="67"/>
      <c r="Y354" s="4"/>
      <c r="Z354" s="4"/>
      <c r="AA354" s="4"/>
    </row>
    <row r="355" ht="19.5" customHeight="1">
      <c r="A355" s="56" t="s">
        <v>28</v>
      </c>
      <c r="B355" s="57">
        <v>336.0</v>
      </c>
      <c r="C355" s="58">
        <f t="shared" si="8"/>
        <v>1.74693E+17</v>
      </c>
      <c r="D355" s="58">
        <f t="shared" si="9"/>
        <v>1.87172E+16</v>
      </c>
      <c r="E355" s="59"/>
      <c r="F355" s="60" t="str">
        <f t="shared" si="1"/>
        <v>-</v>
      </c>
      <c r="G355" s="5" t="str">
        <f t="shared" si="2"/>
        <v>nops</v>
      </c>
      <c r="H355" s="83"/>
      <c r="I355" s="62" t="str">
        <f t="shared" si="10"/>
        <v/>
      </c>
      <c r="J355" s="62" t="str">
        <f t="shared" si="3"/>
        <v/>
      </c>
      <c r="K355" s="68" t="str">
        <f t="shared" si="11"/>
        <v/>
      </c>
      <c r="L355" s="64"/>
      <c r="M355" s="64"/>
      <c r="N355" s="64"/>
      <c r="O355" s="64"/>
      <c r="P355" s="4"/>
      <c r="Q355" s="4"/>
      <c r="R355" s="4"/>
      <c r="S355" s="4"/>
      <c r="T355" s="4"/>
      <c r="U355" s="4"/>
      <c r="V355" s="8">
        <f t="shared" si="12"/>
        <v>1.17837E+17</v>
      </c>
      <c r="W355" s="5" t="str">
        <f t="shared" si="7"/>
        <v>nops</v>
      </c>
      <c r="X355" s="67"/>
      <c r="Y355" s="4"/>
      <c r="Z355" s="4"/>
      <c r="AA355" s="4"/>
    </row>
    <row r="356" ht="19.5" customHeight="1">
      <c r="A356" s="56" t="s">
        <v>28</v>
      </c>
      <c r="B356" s="57">
        <v>337.0</v>
      </c>
      <c r="C356" s="58">
        <f t="shared" si="8"/>
        <v>1.95657E+17</v>
      </c>
      <c r="D356" s="58">
        <f t="shared" si="9"/>
        <v>2.09632E+16</v>
      </c>
      <c r="E356" s="59"/>
      <c r="F356" s="60" t="str">
        <f t="shared" si="1"/>
        <v>-</v>
      </c>
      <c r="G356" s="5" t="str">
        <f t="shared" si="2"/>
        <v>nops</v>
      </c>
      <c r="H356" s="83"/>
      <c r="I356" s="62" t="str">
        <f t="shared" si="10"/>
        <v/>
      </c>
      <c r="J356" s="62" t="str">
        <f t="shared" si="3"/>
        <v/>
      </c>
      <c r="K356" s="68" t="str">
        <f t="shared" si="11"/>
        <v/>
      </c>
      <c r="L356" s="64"/>
      <c r="M356" s="64"/>
      <c r="N356" s="64"/>
      <c r="O356" s="64"/>
      <c r="P356" s="4"/>
      <c r="Q356" s="4"/>
      <c r="R356" s="4"/>
      <c r="S356" s="4"/>
      <c r="T356" s="4"/>
      <c r="U356" s="4"/>
      <c r="V356" s="8">
        <f t="shared" si="12"/>
        <v>1.31977E+17</v>
      </c>
      <c r="W356" s="5" t="str">
        <f t="shared" si="7"/>
        <v>nops</v>
      </c>
      <c r="X356" s="67"/>
      <c r="Y356" s="4"/>
      <c r="Z356" s="4"/>
      <c r="AA356" s="4"/>
    </row>
    <row r="357" ht="19.5" customHeight="1">
      <c r="A357" s="56" t="s">
        <v>28</v>
      </c>
      <c r="B357" s="57">
        <v>338.0</v>
      </c>
      <c r="C357" s="58">
        <f t="shared" si="8"/>
        <v>2.19135E+17</v>
      </c>
      <c r="D357" s="58">
        <f t="shared" si="9"/>
        <v>2.34788E+16</v>
      </c>
      <c r="E357" s="59"/>
      <c r="F357" s="60" t="str">
        <f t="shared" si="1"/>
        <v>-</v>
      </c>
      <c r="G357" s="5" t="str">
        <f t="shared" si="2"/>
        <v>nops</v>
      </c>
      <c r="H357" s="83"/>
      <c r="I357" s="62" t="str">
        <f t="shared" si="10"/>
        <v/>
      </c>
      <c r="J357" s="62" t="str">
        <f t="shared" si="3"/>
        <v/>
      </c>
      <c r="K357" s="68" t="str">
        <f t="shared" si="11"/>
        <v/>
      </c>
      <c r="L357" s="64"/>
      <c r="M357" s="64"/>
      <c r="N357" s="64"/>
      <c r="O357" s="64"/>
      <c r="P357" s="4"/>
      <c r="Q357" s="4"/>
      <c r="R357" s="4"/>
      <c r="S357" s="4"/>
      <c r="T357" s="4"/>
      <c r="U357" s="4"/>
      <c r="V357" s="8">
        <f t="shared" si="12"/>
        <v>1.47815E+17</v>
      </c>
      <c r="W357" s="5" t="str">
        <f t="shared" si="7"/>
        <v>nops</v>
      </c>
      <c r="X357" s="67"/>
      <c r="Y357" s="4"/>
      <c r="Z357" s="4"/>
      <c r="AA357" s="4"/>
    </row>
    <row r="358" ht="19.5" customHeight="1">
      <c r="A358" s="56" t="s">
        <v>28</v>
      </c>
      <c r="B358" s="57">
        <v>339.0</v>
      </c>
      <c r="C358" s="58">
        <f t="shared" si="8"/>
        <v>2.45432E+17</v>
      </c>
      <c r="D358" s="58">
        <f t="shared" si="9"/>
        <v>2.62963E+16</v>
      </c>
      <c r="E358" s="59"/>
      <c r="F358" s="60" t="str">
        <f t="shared" si="1"/>
        <v>-</v>
      </c>
      <c r="G358" s="5" t="str">
        <f t="shared" si="2"/>
        <v>nops</v>
      </c>
      <c r="H358" s="83"/>
      <c r="I358" s="62" t="str">
        <f t="shared" si="10"/>
        <v/>
      </c>
      <c r="J358" s="62" t="str">
        <f t="shared" si="3"/>
        <v/>
      </c>
      <c r="K358" s="68" t="str">
        <f t="shared" si="11"/>
        <v/>
      </c>
      <c r="L358" s="64"/>
      <c r="M358" s="64"/>
      <c r="N358" s="64"/>
      <c r="O358" s="64"/>
      <c r="P358" s="4"/>
      <c r="Q358" s="4"/>
      <c r="R358" s="4"/>
      <c r="S358" s="4"/>
      <c r="T358" s="4"/>
      <c r="U358" s="4"/>
      <c r="V358" s="8">
        <f t="shared" si="12"/>
        <v>1.65553E+17</v>
      </c>
      <c r="W358" s="5" t="str">
        <f t="shared" si="7"/>
        <v>nops</v>
      </c>
      <c r="X358" s="67"/>
      <c r="Y358" s="4"/>
      <c r="Z358" s="4"/>
      <c r="AA358" s="4"/>
    </row>
    <row r="359" ht="19.5" customHeight="1">
      <c r="A359" s="56" t="s">
        <v>28</v>
      </c>
      <c r="B359" s="57">
        <v>340.0</v>
      </c>
      <c r="C359" s="58">
        <f t="shared" si="8"/>
        <v>2.74884E+17</v>
      </c>
      <c r="D359" s="58">
        <f t="shared" si="9"/>
        <v>2.94518E+16</v>
      </c>
      <c r="E359" s="59"/>
      <c r="F359" s="60" t="str">
        <f t="shared" si="1"/>
        <v>-</v>
      </c>
      <c r="G359" s="5" t="str">
        <f t="shared" si="2"/>
        <v>nops</v>
      </c>
      <c r="H359" s="83"/>
      <c r="I359" s="62" t="str">
        <f t="shared" si="10"/>
        <v/>
      </c>
      <c r="J359" s="62" t="str">
        <f t="shared" si="3"/>
        <v/>
      </c>
      <c r="K359" s="68" t="str">
        <f t="shared" si="11"/>
        <v/>
      </c>
      <c r="L359" s="64"/>
      <c r="M359" s="64"/>
      <c r="N359" s="64"/>
      <c r="O359" s="64"/>
      <c r="P359" s="4"/>
      <c r="Q359" s="4"/>
      <c r="R359" s="4"/>
      <c r="S359" s="4"/>
      <c r="T359" s="4"/>
      <c r="U359" s="4"/>
      <c r="V359" s="8">
        <f t="shared" si="12"/>
        <v>1.85419E+17</v>
      </c>
      <c r="W359" s="5" t="str">
        <f t="shared" si="7"/>
        <v>nops</v>
      </c>
      <c r="X359" s="67"/>
      <c r="Y359" s="4"/>
      <c r="Z359" s="4"/>
      <c r="AA359" s="4"/>
    </row>
    <row r="360" ht="19.5" customHeight="1">
      <c r="A360" s="56" t="s">
        <v>28</v>
      </c>
      <c r="B360" s="57">
        <v>341.0</v>
      </c>
      <c r="C360" s="58">
        <f t="shared" si="8"/>
        <v>3.0787E+17</v>
      </c>
      <c r="D360" s="58">
        <f t="shared" si="9"/>
        <v>3.2986E+16</v>
      </c>
      <c r="E360" s="59"/>
      <c r="F360" s="60" t="str">
        <f t="shared" si="1"/>
        <v>-</v>
      </c>
      <c r="G360" s="5" t="str">
        <f t="shared" si="2"/>
        <v>nops</v>
      </c>
      <c r="H360" s="83"/>
      <c r="I360" s="62" t="str">
        <f t="shared" si="10"/>
        <v/>
      </c>
      <c r="J360" s="62" t="str">
        <f t="shared" si="3"/>
        <v/>
      </c>
      <c r="K360" s="68" t="str">
        <f t="shared" si="11"/>
        <v/>
      </c>
      <c r="L360" s="64"/>
      <c r="M360" s="64"/>
      <c r="N360" s="64"/>
      <c r="O360" s="64"/>
      <c r="P360" s="4"/>
      <c r="Q360" s="4"/>
      <c r="R360" s="4"/>
      <c r="S360" s="4"/>
      <c r="T360" s="4"/>
      <c r="U360" s="4"/>
      <c r="V360" s="8">
        <f t="shared" si="12"/>
        <v>2.07669E+17</v>
      </c>
      <c r="W360" s="5" t="str">
        <f t="shared" si="7"/>
        <v>nops</v>
      </c>
      <c r="X360" s="67"/>
      <c r="Y360" s="4"/>
      <c r="Z360" s="4"/>
      <c r="AA360" s="4"/>
    </row>
    <row r="361" ht="19.5" customHeight="1">
      <c r="A361" s="56" t="s">
        <v>28</v>
      </c>
      <c r="B361" s="57">
        <v>342.0</v>
      </c>
      <c r="C361" s="58">
        <f t="shared" si="8"/>
        <v>3.44814E+17</v>
      </c>
      <c r="D361" s="58">
        <f t="shared" si="9"/>
        <v>3.69444E+16</v>
      </c>
      <c r="E361" s="59"/>
      <c r="F361" s="60" t="str">
        <f t="shared" si="1"/>
        <v>-</v>
      </c>
      <c r="G361" s="5" t="str">
        <f t="shared" si="2"/>
        <v>nops</v>
      </c>
      <c r="H361" s="83"/>
      <c r="I361" s="62" t="str">
        <f t="shared" si="10"/>
        <v/>
      </c>
      <c r="J361" s="62" t="str">
        <f t="shared" si="3"/>
        <v/>
      </c>
      <c r="K361" s="68" t="str">
        <f t="shared" si="11"/>
        <v/>
      </c>
      <c r="L361" s="64"/>
      <c r="M361" s="64"/>
      <c r="N361" s="64"/>
      <c r="O361" s="64"/>
      <c r="P361" s="4"/>
      <c r="Q361" s="4"/>
      <c r="R361" s="4"/>
      <c r="S361" s="4"/>
      <c r="T361" s="4"/>
      <c r="U361" s="4"/>
      <c r="V361" s="8">
        <f t="shared" si="12"/>
        <v>2.32589E+17</v>
      </c>
      <c r="W361" s="5" t="str">
        <f t="shared" si="7"/>
        <v>nops</v>
      </c>
      <c r="X361" s="67"/>
      <c r="Y361" s="4"/>
      <c r="Z361" s="4"/>
      <c r="AA361" s="4"/>
    </row>
    <row r="362" ht="19.5" customHeight="1">
      <c r="A362" s="56" t="s">
        <v>28</v>
      </c>
      <c r="B362" s="57">
        <v>343.0</v>
      </c>
      <c r="C362" s="58">
        <f t="shared" si="8"/>
        <v>3.86192E+17</v>
      </c>
      <c r="D362" s="58">
        <f t="shared" si="9"/>
        <v>4.13777E+16</v>
      </c>
      <c r="E362" s="59"/>
      <c r="F362" s="60" t="str">
        <f t="shared" si="1"/>
        <v>-</v>
      </c>
      <c r="G362" s="5" t="str">
        <f t="shared" si="2"/>
        <v>nops</v>
      </c>
      <c r="H362" s="83"/>
      <c r="I362" s="62" t="str">
        <f t="shared" si="10"/>
        <v/>
      </c>
      <c r="J362" s="62" t="str">
        <f t="shared" si="3"/>
        <v/>
      </c>
      <c r="K362" s="68" t="str">
        <f t="shared" si="11"/>
        <v/>
      </c>
      <c r="L362" s="64"/>
      <c r="M362" s="64"/>
      <c r="N362" s="64"/>
      <c r="O362" s="64"/>
      <c r="P362" s="4"/>
      <c r="Q362" s="4"/>
      <c r="R362" s="4"/>
      <c r="S362" s="4"/>
      <c r="T362" s="4"/>
      <c r="U362" s="4"/>
      <c r="V362" s="8">
        <f t="shared" si="12"/>
        <v>2.605E+17</v>
      </c>
      <c r="W362" s="5" t="str">
        <f t="shared" si="7"/>
        <v>nops</v>
      </c>
      <c r="X362" s="67"/>
      <c r="Y362" s="4"/>
      <c r="Z362" s="4"/>
      <c r="AA362" s="4"/>
    </row>
    <row r="363" ht="19.5" customHeight="1">
      <c r="A363" s="56" t="s">
        <v>28</v>
      </c>
      <c r="B363" s="57">
        <v>344.0</v>
      </c>
      <c r="C363" s="58">
        <f t="shared" si="8"/>
        <v>4.32535E+17</v>
      </c>
      <c r="D363" s="58">
        <f t="shared" si="9"/>
        <v>4.6343E+16</v>
      </c>
      <c r="E363" s="59"/>
      <c r="F363" s="60" t="str">
        <f t="shared" si="1"/>
        <v>-</v>
      </c>
      <c r="G363" s="5" t="str">
        <f t="shared" si="2"/>
        <v>nops</v>
      </c>
      <c r="H363" s="83"/>
      <c r="I363" s="62" t="str">
        <f t="shared" si="10"/>
        <v/>
      </c>
      <c r="J363" s="62" t="str">
        <f t="shared" si="3"/>
        <v/>
      </c>
      <c r="K363" s="68" t="str">
        <f t="shared" si="11"/>
        <v/>
      </c>
      <c r="L363" s="64"/>
      <c r="M363" s="64"/>
      <c r="N363" s="64"/>
      <c r="O363" s="64"/>
      <c r="P363" s="4"/>
      <c r="Q363" s="4"/>
      <c r="R363" s="4"/>
      <c r="S363" s="4"/>
      <c r="T363" s="4"/>
      <c r="U363" s="4"/>
      <c r="V363" s="8">
        <f t="shared" si="12"/>
        <v>2.9176E+17</v>
      </c>
      <c r="W363" s="5" t="str">
        <f t="shared" si="7"/>
        <v>nops</v>
      </c>
      <c r="X363" s="67"/>
      <c r="Y363" s="4"/>
      <c r="Z363" s="4"/>
      <c r="AA363" s="4"/>
    </row>
    <row r="364" ht="19.5" customHeight="1">
      <c r="A364" s="56" t="s">
        <v>28</v>
      </c>
      <c r="B364" s="57">
        <v>345.0</v>
      </c>
      <c r="C364" s="58">
        <f t="shared" si="8"/>
        <v>4.84439E+17</v>
      </c>
      <c r="D364" s="58">
        <f t="shared" si="9"/>
        <v>5.19042E+16</v>
      </c>
      <c r="E364" s="59"/>
      <c r="F364" s="60" t="str">
        <f t="shared" si="1"/>
        <v>-</v>
      </c>
      <c r="G364" s="5" t="str">
        <f t="shared" si="2"/>
        <v>nops</v>
      </c>
      <c r="H364" s="83"/>
      <c r="I364" s="62" t="str">
        <f t="shared" si="10"/>
        <v/>
      </c>
      <c r="J364" s="62" t="str">
        <f t="shared" si="3"/>
        <v/>
      </c>
      <c r="K364" s="68" t="str">
        <f t="shared" si="11"/>
        <v/>
      </c>
      <c r="L364" s="64"/>
      <c r="M364" s="64"/>
      <c r="N364" s="64"/>
      <c r="O364" s="64"/>
      <c r="P364" s="4"/>
      <c r="Q364" s="4"/>
      <c r="R364" s="4"/>
      <c r="S364" s="4"/>
      <c r="T364" s="4"/>
      <c r="U364" s="4"/>
      <c r="V364" s="8">
        <f t="shared" si="12"/>
        <v>3.26771E+17</v>
      </c>
      <c r="W364" s="5" t="str">
        <f t="shared" si="7"/>
        <v>nops</v>
      </c>
      <c r="X364" s="67"/>
      <c r="Y364" s="4"/>
      <c r="Z364" s="4"/>
      <c r="AA364" s="4"/>
    </row>
    <row r="365" ht="19.5" customHeight="1">
      <c r="A365" s="56" t="s">
        <v>28</v>
      </c>
      <c r="B365" s="57">
        <v>346.0</v>
      </c>
      <c r="C365" s="58">
        <f t="shared" si="8"/>
        <v>5.42571E+17</v>
      </c>
      <c r="D365" s="58">
        <f t="shared" si="9"/>
        <v>5.81327E+16</v>
      </c>
      <c r="E365" s="59"/>
      <c r="F365" s="60" t="str">
        <f t="shared" si="1"/>
        <v>-</v>
      </c>
      <c r="G365" s="5" t="str">
        <f t="shared" si="2"/>
        <v>nops</v>
      </c>
      <c r="H365" s="83"/>
      <c r="I365" s="62" t="str">
        <f t="shared" si="10"/>
        <v/>
      </c>
      <c r="J365" s="62" t="str">
        <f t="shared" si="3"/>
        <v/>
      </c>
      <c r="K365" s="68" t="str">
        <f t="shared" si="11"/>
        <v/>
      </c>
      <c r="L365" s="64"/>
      <c r="M365" s="64"/>
      <c r="N365" s="64"/>
      <c r="O365" s="64"/>
      <c r="P365" s="4"/>
      <c r="Q365" s="4"/>
      <c r="R365" s="4"/>
      <c r="S365" s="4"/>
      <c r="T365" s="4"/>
      <c r="U365" s="4"/>
      <c r="V365" s="8">
        <f t="shared" si="12"/>
        <v>3.65984E+17</v>
      </c>
      <c r="W365" s="5" t="str">
        <f t="shared" si="7"/>
        <v>nops</v>
      </c>
      <c r="X365" s="67"/>
      <c r="Y365" s="4"/>
      <c r="Z365" s="4"/>
      <c r="AA365" s="4"/>
    </row>
    <row r="366" ht="19.5" customHeight="1">
      <c r="A366" s="56" t="s">
        <v>28</v>
      </c>
      <c r="B366" s="57">
        <v>347.0</v>
      </c>
      <c r="C366" s="58">
        <f t="shared" si="8"/>
        <v>6.0768E+17</v>
      </c>
      <c r="D366" s="58">
        <f t="shared" si="9"/>
        <v>6.51086E+16</v>
      </c>
      <c r="E366" s="59"/>
      <c r="F366" s="60" t="str">
        <f t="shared" si="1"/>
        <v>-</v>
      </c>
      <c r="G366" s="5" t="str">
        <f t="shared" si="2"/>
        <v>nops</v>
      </c>
      <c r="H366" s="83"/>
      <c r="I366" s="62" t="str">
        <f t="shared" si="10"/>
        <v/>
      </c>
      <c r="J366" s="62" t="str">
        <f t="shared" si="3"/>
        <v/>
      </c>
      <c r="K366" s="68" t="str">
        <f t="shared" si="11"/>
        <v/>
      </c>
      <c r="L366" s="64"/>
      <c r="M366" s="64"/>
      <c r="N366" s="64"/>
      <c r="O366" s="64"/>
      <c r="P366" s="4"/>
      <c r="Q366" s="4"/>
      <c r="R366" s="4"/>
      <c r="S366" s="4"/>
      <c r="T366" s="4"/>
      <c r="U366" s="4"/>
      <c r="V366" s="8">
        <f t="shared" si="12"/>
        <v>4.09902E+17</v>
      </c>
      <c r="W366" s="5" t="str">
        <f t="shared" si="7"/>
        <v>nops</v>
      </c>
      <c r="X366" s="67"/>
      <c r="Y366" s="4"/>
      <c r="Z366" s="4"/>
      <c r="AA366" s="4"/>
    </row>
    <row r="367" ht="19.5" customHeight="1">
      <c r="A367" s="56" t="s">
        <v>28</v>
      </c>
      <c r="B367" s="57">
        <v>348.0</v>
      </c>
      <c r="C367" s="58">
        <f t="shared" si="8"/>
        <v>6.80602E+17</v>
      </c>
      <c r="D367" s="58">
        <f t="shared" si="9"/>
        <v>7.29216E+16</v>
      </c>
      <c r="E367" s="59"/>
      <c r="F367" s="60" t="str">
        <f t="shared" si="1"/>
        <v>-</v>
      </c>
      <c r="G367" s="5" t="str">
        <f t="shared" si="2"/>
        <v>nops</v>
      </c>
      <c r="H367" s="83"/>
      <c r="I367" s="62" t="str">
        <f t="shared" si="10"/>
        <v/>
      </c>
      <c r="J367" s="62" t="str">
        <f t="shared" si="3"/>
        <v/>
      </c>
      <c r="K367" s="68" t="str">
        <f t="shared" si="11"/>
        <v/>
      </c>
      <c r="L367" s="64"/>
      <c r="M367" s="64"/>
      <c r="N367" s="64"/>
      <c r="O367" s="64"/>
      <c r="P367" s="4"/>
      <c r="Q367" s="4"/>
      <c r="R367" s="4"/>
      <c r="S367" s="4"/>
      <c r="T367" s="4"/>
      <c r="U367" s="4"/>
      <c r="V367" s="8">
        <f t="shared" si="12"/>
        <v>4.5909E+17</v>
      </c>
      <c r="W367" s="5" t="str">
        <f t="shared" si="7"/>
        <v>nops</v>
      </c>
      <c r="X367" s="67"/>
      <c r="Y367" s="4"/>
      <c r="Z367" s="4"/>
      <c r="AA367" s="4"/>
    </row>
    <row r="368" ht="19.5" customHeight="1">
      <c r="A368" s="56" t="s">
        <v>28</v>
      </c>
      <c r="B368" s="57">
        <v>349.0</v>
      </c>
      <c r="C368" s="58">
        <f t="shared" si="8"/>
        <v>7.62274E+17</v>
      </c>
      <c r="D368" s="58">
        <f t="shared" si="9"/>
        <v>8.16722E+16</v>
      </c>
      <c r="E368" s="59"/>
      <c r="F368" s="60" t="str">
        <f t="shared" si="1"/>
        <v>-</v>
      </c>
      <c r="G368" s="5" t="str">
        <f t="shared" si="2"/>
        <v>nops</v>
      </c>
      <c r="H368" s="83"/>
      <c r="I368" s="62" t="str">
        <f t="shared" si="10"/>
        <v/>
      </c>
      <c r="J368" s="62" t="str">
        <f t="shared" si="3"/>
        <v/>
      </c>
      <c r="K368" s="68" t="str">
        <f t="shared" si="11"/>
        <v/>
      </c>
      <c r="L368" s="64"/>
      <c r="M368" s="64"/>
      <c r="N368" s="64"/>
      <c r="O368" s="64"/>
      <c r="P368" s="4"/>
      <c r="Q368" s="4"/>
      <c r="R368" s="4"/>
      <c r="S368" s="4"/>
      <c r="T368" s="4"/>
      <c r="U368" s="4"/>
      <c r="V368" s="8">
        <f t="shared" si="12"/>
        <v>5.14181E+17</v>
      </c>
      <c r="W368" s="5" t="str">
        <f t="shared" si="7"/>
        <v>nops</v>
      </c>
      <c r="X368" s="67"/>
      <c r="Y368" s="4"/>
      <c r="Z368" s="4"/>
      <c r="AA368" s="4"/>
    </row>
    <row r="369" ht="19.5" customHeight="1">
      <c r="A369" s="56" t="s">
        <v>28</v>
      </c>
      <c r="B369" s="57">
        <v>350.0</v>
      </c>
      <c r="C369" s="58">
        <f t="shared" si="8"/>
        <v>8.53747E+17</v>
      </c>
      <c r="D369" s="58">
        <f t="shared" si="9"/>
        <v>9.14729E+16</v>
      </c>
      <c r="E369" s="59"/>
      <c r="F369" s="60" t="str">
        <f t="shared" si="1"/>
        <v>-</v>
      </c>
      <c r="G369" s="5" t="str">
        <f t="shared" si="2"/>
        <v>nops</v>
      </c>
      <c r="H369" s="83"/>
      <c r="I369" s="62" t="str">
        <f t="shared" si="10"/>
        <v/>
      </c>
      <c r="J369" s="62" t="str">
        <f t="shared" si="3"/>
        <v/>
      </c>
      <c r="K369" s="68" t="str">
        <f t="shared" si="11"/>
        <v/>
      </c>
      <c r="L369" s="64"/>
      <c r="M369" s="64"/>
      <c r="N369" s="64"/>
      <c r="O369" s="64"/>
      <c r="P369" s="4"/>
      <c r="Q369" s="4"/>
      <c r="R369" s="4"/>
      <c r="S369" s="4"/>
      <c r="T369" s="4"/>
      <c r="U369" s="4"/>
      <c r="V369" s="8">
        <f t="shared" si="12"/>
        <v>5.75883E+17</v>
      </c>
      <c r="W369" s="5" t="str">
        <f t="shared" si="7"/>
        <v>nops</v>
      </c>
      <c r="X369" s="67"/>
      <c r="Y369" s="4"/>
      <c r="Z369" s="4"/>
      <c r="AA369" s="4"/>
    </row>
    <row r="370" ht="19.5" customHeight="1">
      <c r="A370" s="56" t="s">
        <v>28</v>
      </c>
      <c r="B370" s="57">
        <v>351.0</v>
      </c>
      <c r="C370" s="58">
        <f t="shared" si="8"/>
        <v>9.56196E+17</v>
      </c>
      <c r="D370" s="58">
        <f t="shared" si="9"/>
        <v>1.0245E+17</v>
      </c>
      <c r="E370" s="59"/>
      <c r="F370" s="60" t="str">
        <f t="shared" si="1"/>
        <v>-</v>
      </c>
      <c r="G370" s="5" t="str">
        <f t="shared" si="2"/>
        <v>nops</v>
      </c>
      <c r="H370" s="83"/>
      <c r="I370" s="62" t="str">
        <f t="shared" si="10"/>
        <v/>
      </c>
      <c r="J370" s="62" t="str">
        <f t="shared" si="3"/>
        <v/>
      </c>
      <c r="K370" s="68" t="str">
        <f t="shared" si="11"/>
        <v/>
      </c>
      <c r="L370" s="64"/>
      <c r="M370" s="64"/>
      <c r="N370" s="64"/>
      <c r="O370" s="64"/>
      <c r="P370" s="4"/>
      <c r="Q370" s="4"/>
      <c r="R370" s="4"/>
      <c r="S370" s="4"/>
      <c r="T370" s="4"/>
      <c r="U370" s="4"/>
      <c r="V370" s="8">
        <f t="shared" si="12"/>
        <v>6.44989E+17</v>
      </c>
      <c r="W370" s="5" t="str">
        <f t="shared" si="7"/>
        <v>nops</v>
      </c>
      <c r="X370" s="67"/>
      <c r="Y370" s="4"/>
      <c r="Z370" s="4"/>
      <c r="AA370" s="4"/>
    </row>
    <row r="371" ht="19.5" customHeight="1">
      <c r="A371" s="56" t="s">
        <v>28</v>
      </c>
      <c r="B371" s="57">
        <v>352.0</v>
      </c>
      <c r="C371" s="58">
        <f t="shared" si="8"/>
        <v>1.07094E+18</v>
      </c>
      <c r="D371" s="58">
        <f t="shared" si="9"/>
        <v>1.14744E+17</v>
      </c>
      <c r="E371" s="59"/>
      <c r="F371" s="60" t="str">
        <f t="shared" si="1"/>
        <v>-</v>
      </c>
      <c r="G371" s="5" t="str">
        <f t="shared" si="2"/>
        <v>nops</v>
      </c>
      <c r="H371" s="83"/>
      <c r="I371" s="62" t="str">
        <f t="shared" si="10"/>
        <v/>
      </c>
      <c r="J371" s="62" t="str">
        <f t="shared" si="3"/>
        <v/>
      </c>
      <c r="K371" s="68" t="str">
        <f t="shared" si="11"/>
        <v/>
      </c>
      <c r="L371" s="64"/>
      <c r="M371" s="64"/>
      <c r="N371" s="64"/>
      <c r="O371" s="64"/>
      <c r="P371" s="4"/>
      <c r="Q371" s="4"/>
      <c r="R371" s="4"/>
      <c r="S371" s="4"/>
      <c r="T371" s="4"/>
      <c r="U371" s="4"/>
      <c r="V371" s="8">
        <f t="shared" si="12"/>
        <v>7.22387E+17</v>
      </c>
      <c r="W371" s="5" t="str">
        <f t="shared" si="7"/>
        <v>nops</v>
      </c>
      <c r="X371" s="67"/>
      <c r="Y371" s="4"/>
      <c r="Z371" s="4"/>
      <c r="AA371" s="4"/>
    </row>
    <row r="372" ht="19.5" customHeight="1">
      <c r="A372" s="56" t="s">
        <v>28</v>
      </c>
      <c r="B372" s="57">
        <v>353.0</v>
      </c>
      <c r="C372" s="58">
        <f t="shared" si="8"/>
        <v>1.19945E+18</v>
      </c>
      <c r="D372" s="58">
        <f t="shared" si="9"/>
        <v>1.28513E+17</v>
      </c>
      <c r="E372" s="59"/>
      <c r="F372" s="60" t="str">
        <f t="shared" si="1"/>
        <v>-</v>
      </c>
      <c r="G372" s="5" t="str">
        <f t="shared" si="2"/>
        <v>nops</v>
      </c>
      <c r="H372" s="83"/>
      <c r="I372" s="62" t="str">
        <f t="shared" si="10"/>
        <v/>
      </c>
      <c r="J372" s="62" t="str">
        <f t="shared" si="3"/>
        <v/>
      </c>
      <c r="K372" s="68" t="str">
        <f t="shared" si="11"/>
        <v/>
      </c>
      <c r="L372" s="64"/>
      <c r="M372" s="64"/>
      <c r="N372" s="64"/>
      <c r="O372" s="64"/>
      <c r="P372" s="4"/>
      <c r="Q372" s="4"/>
      <c r="R372" s="4"/>
      <c r="S372" s="4"/>
      <c r="T372" s="4"/>
      <c r="U372" s="4"/>
      <c r="V372" s="8">
        <f t="shared" si="12"/>
        <v>8.09074E+17</v>
      </c>
      <c r="W372" s="5" t="str">
        <f t="shared" si="7"/>
        <v>nops</v>
      </c>
      <c r="X372" s="67"/>
      <c r="Y372" s="4"/>
      <c r="Z372" s="4"/>
      <c r="AA372" s="4"/>
    </row>
    <row r="373" ht="19.5" customHeight="1">
      <c r="A373" s="56" t="s">
        <v>28</v>
      </c>
      <c r="B373" s="57">
        <v>354.0</v>
      </c>
      <c r="C373" s="58">
        <f t="shared" si="8"/>
        <v>1.34339E+18</v>
      </c>
      <c r="D373" s="58">
        <f t="shared" si="9"/>
        <v>1.43934E+17</v>
      </c>
      <c r="E373" s="59"/>
      <c r="F373" s="60" t="str">
        <f t="shared" si="1"/>
        <v>-</v>
      </c>
      <c r="G373" s="5" t="str">
        <f t="shared" si="2"/>
        <v>nops</v>
      </c>
      <c r="H373" s="83"/>
      <c r="I373" s="62" t="str">
        <f t="shared" si="10"/>
        <v/>
      </c>
      <c r="J373" s="62" t="str">
        <f t="shared" si="3"/>
        <v/>
      </c>
      <c r="K373" s="68" t="str">
        <f t="shared" si="11"/>
        <v/>
      </c>
      <c r="L373" s="64"/>
      <c r="M373" s="64"/>
      <c r="N373" s="64"/>
      <c r="O373" s="64"/>
      <c r="P373" s="4"/>
      <c r="Q373" s="4"/>
      <c r="R373" s="4"/>
      <c r="S373" s="4"/>
      <c r="T373" s="4"/>
      <c r="U373" s="4"/>
      <c r="V373" s="8">
        <f t="shared" si="12"/>
        <v>9.06163E+17</v>
      </c>
      <c r="W373" s="5" t="str">
        <f t="shared" si="7"/>
        <v>nops</v>
      </c>
      <c r="X373" s="67"/>
      <c r="Y373" s="4"/>
      <c r="Z373" s="4"/>
      <c r="AA373" s="4"/>
    </row>
    <row r="374" ht="19.5" customHeight="1">
      <c r="A374" s="56" t="s">
        <v>28</v>
      </c>
      <c r="B374" s="57">
        <v>355.0</v>
      </c>
      <c r="C374" s="58">
        <f t="shared" si="8"/>
        <v>1.50459E+18</v>
      </c>
      <c r="D374" s="58">
        <f t="shared" si="9"/>
        <v>1.61206E+17</v>
      </c>
      <c r="E374" s="59"/>
      <c r="F374" s="60" t="str">
        <f t="shared" si="1"/>
        <v>-</v>
      </c>
      <c r="G374" s="5" t="str">
        <f t="shared" si="2"/>
        <v>nops</v>
      </c>
      <c r="H374" s="83"/>
      <c r="I374" s="62" t="str">
        <f t="shared" si="10"/>
        <v/>
      </c>
      <c r="J374" s="62" t="str">
        <f t="shared" si="3"/>
        <v/>
      </c>
      <c r="K374" s="68" t="str">
        <f t="shared" si="11"/>
        <v/>
      </c>
      <c r="L374" s="64"/>
      <c r="M374" s="64"/>
      <c r="N374" s="64"/>
      <c r="O374" s="64"/>
      <c r="P374" s="4"/>
      <c r="Q374" s="4"/>
      <c r="R374" s="4"/>
      <c r="S374" s="4"/>
      <c r="T374" s="4"/>
      <c r="U374" s="4"/>
      <c r="V374" s="8">
        <f t="shared" si="12"/>
        <v>1.0149E+18</v>
      </c>
      <c r="W374" s="5" t="str">
        <f t="shared" si="7"/>
        <v>nops</v>
      </c>
      <c r="X374" s="67"/>
      <c r="Y374" s="4"/>
      <c r="Z374" s="4"/>
      <c r="AA374" s="4"/>
    </row>
    <row r="375" ht="19.5" customHeight="1">
      <c r="A375" s="56" t="s">
        <v>28</v>
      </c>
      <c r="B375" s="57">
        <v>356.0</v>
      </c>
      <c r="C375" s="58">
        <f t="shared" si="8"/>
        <v>1.68514E+18</v>
      </c>
      <c r="D375" s="58">
        <f t="shared" si="9"/>
        <v>1.80551E+17</v>
      </c>
      <c r="E375" s="59"/>
      <c r="F375" s="60" t="str">
        <f t="shared" si="1"/>
        <v>-</v>
      </c>
      <c r="G375" s="5" t="str">
        <f t="shared" si="2"/>
        <v>nops</v>
      </c>
      <c r="H375" s="83"/>
      <c r="I375" s="62" t="str">
        <f t="shared" si="10"/>
        <v/>
      </c>
      <c r="J375" s="62" t="str">
        <f t="shared" si="3"/>
        <v/>
      </c>
      <c r="K375" s="68" t="str">
        <f t="shared" si="11"/>
        <v/>
      </c>
      <c r="L375" s="64"/>
      <c r="M375" s="64"/>
      <c r="N375" s="64"/>
      <c r="O375" s="64"/>
      <c r="P375" s="4"/>
      <c r="Q375" s="4"/>
      <c r="R375" s="4"/>
      <c r="S375" s="4"/>
      <c r="T375" s="4"/>
      <c r="U375" s="4"/>
      <c r="V375" s="8">
        <f t="shared" si="12"/>
        <v>1.13669E+18</v>
      </c>
      <c r="W375" s="5" t="str">
        <f t="shared" si="7"/>
        <v>nops</v>
      </c>
      <c r="X375" s="67"/>
      <c r="Y375" s="4"/>
      <c r="Z375" s="4"/>
      <c r="AA375" s="4"/>
    </row>
    <row r="376" ht="19.5" customHeight="1">
      <c r="A376" s="56" t="s">
        <v>28</v>
      </c>
      <c r="B376" s="57">
        <v>357.0</v>
      </c>
      <c r="C376" s="58">
        <f t="shared" si="8"/>
        <v>1.88736E+18</v>
      </c>
      <c r="D376" s="58">
        <f t="shared" si="9"/>
        <v>2.02217E+17</v>
      </c>
      <c r="E376" s="59"/>
      <c r="F376" s="60" t="str">
        <f t="shared" si="1"/>
        <v>-</v>
      </c>
      <c r="G376" s="5" t="str">
        <f t="shared" si="2"/>
        <v>nops</v>
      </c>
      <c r="H376" s="83"/>
      <c r="I376" s="62" t="str">
        <f t="shared" si="10"/>
        <v/>
      </c>
      <c r="J376" s="62" t="str">
        <f t="shared" si="3"/>
        <v/>
      </c>
      <c r="K376" s="68" t="str">
        <f t="shared" si="11"/>
        <v/>
      </c>
      <c r="L376" s="64"/>
      <c r="M376" s="64"/>
      <c r="N376" s="64"/>
      <c r="O376" s="64"/>
      <c r="P376" s="4"/>
      <c r="Q376" s="4"/>
      <c r="R376" s="4"/>
      <c r="S376" s="4"/>
      <c r="T376" s="4"/>
      <c r="U376" s="4"/>
      <c r="V376" s="8">
        <f t="shared" si="12"/>
        <v>1.27309E+18</v>
      </c>
      <c r="W376" s="5" t="str">
        <f t="shared" si="7"/>
        <v>nops</v>
      </c>
      <c r="X376" s="67"/>
      <c r="Y376" s="4"/>
      <c r="Z376" s="4"/>
      <c r="AA376" s="4"/>
    </row>
    <row r="377" ht="19.5" customHeight="1">
      <c r="A377" s="56" t="s">
        <v>28</v>
      </c>
      <c r="B377" s="57">
        <v>358.0</v>
      </c>
      <c r="C377" s="58">
        <f t="shared" si="8"/>
        <v>2.11385E+18</v>
      </c>
      <c r="D377" s="58">
        <f t="shared" si="9"/>
        <v>2.26483E+17</v>
      </c>
      <c r="E377" s="59"/>
      <c r="F377" s="60" t="str">
        <f t="shared" si="1"/>
        <v>-</v>
      </c>
      <c r="G377" s="5" t="str">
        <f t="shared" si="2"/>
        <v>nops</v>
      </c>
      <c r="H377" s="83"/>
      <c r="I377" s="62" t="str">
        <f t="shared" si="10"/>
        <v/>
      </c>
      <c r="J377" s="62" t="str">
        <f t="shared" si="3"/>
        <v/>
      </c>
      <c r="K377" s="68" t="str">
        <f t="shared" si="11"/>
        <v/>
      </c>
      <c r="L377" s="64"/>
      <c r="M377" s="64"/>
      <c r="N377" s="64"/>
      <c r="O377" s="64"/>
      <c r="P377" s="4"/>
      <c r="Q377" s="4"/>
      <c r="R377" s="4"/>
      <c r="S377" s="4"/>
      <c r="T377" s="4"/>
      <c r="U377" s="4"/>
      <c r="V377" s="8">
        <f t="shared" si="12"/>
        <v>1.42586E+18</v>
      </c>
      <c r="W377" s="5" t="str">
        <f t="shared" si="7"/>
        <v>nops</v>
      </c>
      <c r="X377" s="67"/>
      <c r="Y377" s="4"/>
      <c r="Z377" s="4"/>
      <c r="AA377" s="4"/>
    </row>
    <row r="378" ht="19.5" customHeight="1">
      <c r="A378" s="56" t="s">
        <v>28</v>
      </c>
      <c r="B378" s="57">
        <v>359.0</v>
      </c>
      <c r="C378" s="58">
        <f t="shared" si="8"/>
        <v>2.36751E+18</v>
      </c>
      <c r="D378" s="58">
        <f t="shared" si="9"/>
        <v>2.53661E+17</v>
      </c>
      <c r="E378" s="59"/>
      <c r="F378" s="60" t="str">
        <f t="shared" si="1"/>
        <v>-</v>
      </c>
      <c r="G378" s="5" t="str">
        <f t="shared" si="2"/>
        <v>nops</v>
      </c>
      <c r="H378" s="83"/>
      <c r="I378" s="62" t="str">
        <f t="shared" si="10"/>
        <v/>
      </c>
      <c r="J378" s="62" t="str">
        <f t="shared" si="3"/>
        <v/>
      </c>
      <c r="K378" s="68" t="str">
        <f t="shared" si="11"/>
        <v/>
      </c>
      <c r="L378" s="64"/>
      <c r="M378" s="64"/>
      <c r="N378" s="64"/>
      <c r="O378" s="64"/>
      <c r="P378" s="4"/>
      <c r="Q378" s="4"/>
      <c r="R378" s="4"/>
      <c r="S378" s="4"/>
      <c r="T378" s="4"/>
      <c r="U378" s="4"/>
      <c r="V378" s="8">
        <f t="shared" si="12"/>
        <v>1.59697E+18</v>
      </c>
      <c r="W378" s="5" t="str">
        <f t="shared" si="7"/>
        <v>nops</v>
      </c>
      <c r="X378" s="67"/>
      <c r="Y378" s="4"/>
      <c r="Z378" s="4"/>
      <c r="AA378" s="4"/>
    </row>
    <row r="379" ht="19.5" customHeight="1">
      <c r="A379" s="56" t="s">
        <v>28</v>
      </c>
      <c r="B379" s="57">
        <v>360.0</v>
      </c>
      <c r="C379" s="58">
        <f t="shared" si="8"/>
        <v>2.65161E+18</v>
      </c>
      <c r="D379" s="58">
        <f t="shared" si="9"/>
        <v>2.84101E+17</v>
      </c>
      <c r="E379" s="59"/>
      <c r="F379" s="60" t="str">
        <f t="shared" si="1"/>
        <v>-</v>
      </c>
      <c r="G379" s="5" t="str">
        <f t="shared" si="2"/>
        <v>nops</v>
      </c>
      <c r="H379" s="83"/>
      <c r="I379" s="62" t="str">
        <f t="shared" si="10"/>
        <v/>
      </c>
      <c r="J379" s="62" t="str">
        <f t="shared" si="3"/>
        <v/>
      </c>
      <c r="K379" s="68" t="str">
        <f t="shared" si="11"/>
        <v/>
      </c>
      <c r="L379" s="64"/>
      <c r="M379" s="64"/>
      <c r="N379" s="64"/>
      <c r="O379" s="64"/>
      <c r="P379" s="4"/>
      <c r="Q379" s="4"/>
      <c r="R379" s="4"/>
      <c r="S379" s="4"/>
      <c r="T379" s="4"/>
      <c r="U379" s="4"/>
      <c r="V379" s="8">
        <f t="shared" si="12"/>
        <v>1.7886E+18</v>
      </c>
      <c r="W379" s="5" t="str">
        <f t="shared" si="7"/>
        <v>nops</v>
      </c>
      <c r="X379" s="67"/>
      <c r="Y379" s="4"/>
      <c r="Z379" s="4"/>
      <c r="AA379" s="4"/>
    </row>
    <row r="380" ht="19.5" customHeight="1">
      <c r="A380" s="56" t="s">
        <v>28</v>
      </c>
      <c r="B380" s="57">
        <v>361.0</v>
      </c>
      <c r="C380" s="58">
        <f t="shared" si="8"/>
        <v>2.9698E+18</v>
      </c>
      <c r="D380" s="58">
        <f t="shared" si="9"/>
        <v>3.18193E+17</v>
      </c>
      <c r="E380" s="59"/>
      <c r="F380" s="60" t="str">
        <f t="shared" si="1"/>
        <v>-</v>
      </c>
      <c r="G380" s="5" t="str">
        <f t="shared" si="2"/>
        <v>nops</v>
      </c>
      <c r="H380" s="83"/>
      <c r="I380" s="62" t="str">
        <f t="shared" si="10"/>
        <v/>
      </c>
      <c r="J380" s="62" t="str">
        <f t="shared" si="3"/>
        <v/>
      </c>
      <c r="K380" s="68" t="str">
        <f t="shared" si="11"/>
        <v/>
      </c>
      <c r="L380" s="64"/>
      <c r="M380" s="64"/>
      <c r="N380" s="64"/>
      <c r="O380" s="64"/>
      <c r="P380" s="4"/>
      <c r="Q380" s="4"/>
      <c r="R380" s="4"/>
      <c r="S380" s="4"/>
      <c r="T380" s="4"/>
      <c r="U380" s="4"/>
      <c r="V380" s="8">
        <f t="shared" si="12"/>
        <v>2.00324E+18</v>
      </c>
      <c r="W380" s="5" t="str">
        <f t="shared" si="7"/>
        <v>nops</v>
      </c>
      <c r="X380" s="67"/>
      <c r="Y380" s="4"/>
      <c r="Z380" s="4"/>
      <c r="AA380" s="4"/>
    </row>
    <row r="381" ht="19.5" customHeight="1">
      <c r="A381" s="56" t="s">
        <v>28</v>
      </c>
      <c r="B381" s="57">
        <v>362.0</v>
      </c>
      <c r="C381" s="58">
        <f t="shared" si="8"/>
        <v>3.32618E+18</v>
      </c>
      <c r="D381" s="58">
        <f t="shared" si="9"/>
        <v>3.56376E+17</v>
      </c>
      <c r="E381" s="59"/>
      <c r="F381" s="60" t="str">
        <f t="shared" si="1"/>
        <v>-</v>
      </c>
      <c r="G381" s="5" t="str">
        <f t="shared" si="2"/>
        <v>nops</v>
      </c>
      <c r="H381" s="83"/>
      <c r="I381" s="62" t="str">
        <f t="shared" si="10"/>
        <v/>
      </c>
      <c r="J381" s="62" t="str">
        <f t="shared" si="3"/>
        <v/>
      </c>
      <c r="K381" s="68" t="str">
        <f t="shared" si="11"/>
        <v/>
      </c>
      <c r="L381" s="64"/>
      <c r="M381" s="64"/>
      <c r="N381" s="64"/>
      <c r="O381" s="64"/>
      <c r="P381" s="4"/>
      <c r="Q381" s="4"/>
      <c r="R381" s="4"/>
      <c r="S381" s="4"/>
      <c r="T381" s="4"/>
      <c r="U381" s="4"/>
      <c r="V381" s="8">
        <f t="shared" si="12"/>
        <v>2.24363E+18</v>
      </c>
      <c r="W381" s="5" t="str">
        <f t="shared" si="7"/>
        <v>nops</v>
      </c>
      <c r="X381" s="67"/>
      <c r="Y381" s="4"/>
      <c r="Z381" s="4"/>
      <c r="AA381" s="4"/>
    </row>
    <row r="382" ht="19.5" customHeight="1">
      <c r="A382" s="56" t="s">
        <v>28</v>
      </c>
      <c r="B382" s="57">
        <v>363.0</v>
      </c>
      <c r="C382" s="58">
        <f t="shared" si="8"/>
        <v>3.72532E+18</v>
      </c>
      <c r="D382" s="58">
        <f t="shared" si="9"/>
        <v>3.99141E+17</v>
      </c>
      <c r="E382" s="59"/>
      <c r="F382" s="60" t="str">
        <f t="shared" si="1"/>
        <v>-</v>
      </c>
      <c r="G382" s="5" t="str">
        <f t="shared" si="2"/>
        <v>nops</v>
      </c>
      <c r="H382" s="83"/>
      <c r="I382" s="62" t="str">
        <f t="shared" si="10"/>
        <v/>
      </c>
      <c r="J382" s="62" t="str">
        <f t="shared" si="3"/>
        <v/>
      </c>
      <c r="K382" s="68" t="str">
        <f t="shared" si="11"/>
        <v/>
      </c>
      <c r="L382" s="64"/>
      <c r="M382" s="64"/>
      <c r="N382" s="64"/>
      <c r="O382" s="64"/>
      <c r="P382" s="4"/>
      <c r="Q382" s="4"/>
      <c r="R382" s="4"/>
      <c r="S382" s="4"/>
      <c r="T382" s="4"/>
      <c r="U382" s="4"/>
      <c r="V382" s="8">
        <f t="shared" si="12"/>
        <v>2.51286E+18</v>
      </c>
      <c r="W382" s="5" t="str">
        <f t="shared" si="7"/>
        <v>nops</v>
      </c>
      <c r="X382" s="67"/>
      <c r="Y382" s="4"/>
      <c r="Z382" s="4"/>
      <c r="AA382" s="4"/>
    </row>
    <row r="383" ht="19.5" customHeight="1">
      <c r="A383" s="56" t="s">
        <v>28</v>
      </c>
      <c r="B383" s="57">
        <v>364.0</v>
      </c>
      <c r="C383" s="58">
        <f t="shared" si="8"/>
        <v>4.17236E+18</v>
      </c>
      <c r="D383" s="58">
        <f t="shared" si="9"/>
        <v>4.47038E+17</v>
      </c>
      <c r="E383" s="59"/>
      <c r="F383" s="60" t="str">
        <f t="shared" si="1"/>
        <v>-</v>
      </c>
      <c r="G383" s="5" t="str">
        <f t="shared" si="2"/>
        <v>nops</v>
      </c>
      <c r="H383" s="83"/>
      <c r="I383" s="62" t="str">
        <f t="shared" si="10"/>
        <v/>
      </c>
      <c r="J383" s="62" t="str">
        <f t="shared" si="3"/>
        <v/>
      </c>
      <c r="K383" s="68" t="str">
        <f t="shared" si="11"/>
        <v/>
      </c>
      <c r="L383" s="64"/>
      <c r="M383" s="64"/>
      <c r="N383" s="64"/>
      <c r="O383" s="64"/>
      <c r="P383" s="4"/>
      <c r="Q383" s="4"/>
      <c r="R383" s="4"/>
      <c r="S383" s="4"/>
      <c r="T383" s="4"/>
      <c r="U383" s="4"/>
      <c r="V383" s="8">
        <f t="shared" si="12"/>
        <v>2.8144E+18</v>
      </c>
      <c r="W383" s="5" t="str">
        <f t="shared" si="7"/>
        <v>nops</v>
      </c>
      <c r="X383" s="67"/>
      <c r="Y383" s="4"/>
      <c r="Z383" s="4"/>
      <c r="AA383" s="4"/>
    </row>
    <row r="384" ht="19.5" customHeight="1">
      <c r="A384" s="56" t="s">
        <v>28</v>
      </c>
      <c r="B384" s="57">
        <v>365.0</v>
      </c>
      <c r="C384" s="58">
        <f t="shared" si="8"/>
        <v>4.67304E+18</v>
      </c>
      <c r="D384" s="58">
        <f t="shared" si="9"/>
        <v>5.00683E+17</v>
      </c>
      <c r="E384" s="59"/>
      <c r="F384" s="60" t="str">
        <f t="shared" si="1"/>
        <v>-</v>
      </c>
      <c r="G384" s="5" t="str">
        <f t="shared" si="2"/>
        <v>nops</v>
      </c>
      <c r="H384" s="83"/>
      <c r="I384" s="62" t="str">
        <f t="shared" si="10"/>
        <v/>
      </c>
      <c r="J384" s="62" t="str">
        <f t="shared" si="3"/>
        <v/>
      </c>
      <c r="K384" s="68" t="str">
        <f t="shared" si="11"/>
        <v/>
      </c>
      <c r="L384" s="64"/>
      <c r="M384" s="64"/>
      <c r="N384" s="64"/>
      <c r="O384" s="64"/>
      <c r="P384" s="4"/>
      <c r="Q384" s="4"/>
      <c r="R384" s="4"/>
      <c r="S384" s="4"/>
      <c r="T384" s="4"/>
      <c r="U384" s="4"/>
      <c r="V384" s="8">
        <f t="shared" si="12"/>
        <v>3.15213E+18</v>
      </c>
      <c r="W384" s="5" t="str">
        <f t="shared" si="7"/>
        <v>nops</v>
      </c>
      <c r="X384" s="67"/>
      <c r="Y384" s="4"/>
      <c r="Z384" s="4"/>
      <c r="AA384" s="4"/>
    </row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Q21:S21"/>
    <mergeCell ref="R22:R23"/>
    <mergeCell ref="S22:S23"/>
    <mergeCell ref="Q25:S25"/>
    <mergeCell ref="G14:J14"/>
    <mergeCell ref="B18:B19"/>
    <mergeCell ref="C18:D18"/>
    <mergeCell ref="E18:F18"/>
    <mergeCell ref="H18:K18"/>
    <mergeCell ref="M18:O18"/>
    <mergeCell ref="Q18:S18"/>
  </mergeCells>
  <conditionalFormatting sqref="K17:O17 K20:O384">
    <cfRule type="cellIs" dxfId="0" priority="1" operator="greaterThanOrEqual">
      <formula>0.01</formula>
    </cfRule>
  </conditionalFormatting>
  <conditionalFormatting sqref="I20:I384">
    <cfRule type="cellIs" dxfId="0" priority="2" operator="greaterThanOrEqual">
      <formula>0.01</formula>
    </cfRule>
  </conditionalFormatting>
  <conditionalFormatting sqref="J20:J384">
    <cfRule type="cellIs" dxfId="0" priority="3" operator="greaterThanOrEqual">
      <formula>0.01</formula>
    </cfRule>
  </conditionalFormatting>
  <conditionalFormatting sqref="C20">
    <cfRule type="expression" dxfId="1" priority="4">
      <formula>AND(COUNTBLANK(H20)=1,COUNTBLANK(H19)=0)</formula>
    </cfRule>
  </conditionalFormatting>
  <conditionalFormatting sqref="C21:C384">
    <cfRule type="expression" dxfId="1" priority="5">
      <formula>AND(COUNTBLANK(H21)=1,COUNTBLANK(H20)=0)</formula>
    </cfRule>
  </conditionalFormatting>
  <conditionalFormatting sqref="B20:B384">
    <cfRule type="expression" dxfId="0" priority="6">
      <formula>AND(COUNTBLANK(H20)=1,COUNTBLANK(H19)=0)</formula>
    </cfRule>
  </conditionalFormatting>
  <conditionalFormatting sqref="A20:A384">
    <cfRule type="expression" dxfId="0" priority="7">
      <formula>AND(COUNTBLANK(H20)=1,COUNTBLANK(H19)=0)</formula>
    </cfRule>
  </conditionalFormatting>
  <conditionalFormatting sqref="D20">
    <cfRule type="expression" dxfId="1" priority="8">
      <formula>AND(COUNTBLANK(H20)=1,COUNTBLANK(H19)=0)</formula>
    </cfRule>
  </conditionalFormatting>
  <conditionalFormatting sqref="D21:D384">
    <cfRule type="expression" dxfId="1" priority="9">
      <formula>AND(COUNTBLANK(H21)=1,COUNTBLANK(H20)=0)</formula>
    </cfRule>
  </conditionalFormatting>
  <conditionalFormatting sqref="Q22:Q23">
    <cfRule type="cellIs" dxfId="2" priority="10" operator="lessThan">
      <formula>0</formula>
    </cfRule>
  </conditionalFormatting>
  <conditionalFormatting sqref="V20">
    <cfRule type="expression" dxfId="1" priority="11">
      <formula>AND(COUNTBLANK(AA20)=1,COUNTBLANK(AA19)=0)</formula>
    </cfRule>
  </conditionalFormatting>
  <conditionalFormatting sqref="V21:V384">
    <cfRule type="expression" dxfId="1" priority="12">
      <formula>AND(COUNTBLANK(AA21)=1,COUNTBLANK(AA20)=0)</formula>
    </cfRule>
  </conditionalFormatting>
  <conditionalFormatting sqref="Q26">
    <cfRule type="cellIs" dxfId="2" priority="13" operator="lessThan">
      <formula>0</formula>
    </cfRule>
  </conditionalFormatting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 outlineLevelCol="3"/>
  <cols>
    <col customWidth="1" min="1" max="1" width="4.25"/>
    <col customWidth="1" min="2" max="2" width="7.25"/>
    <col customWidth="1" min="3" max="3" width="16.63"/>
    <col customWidth="1" min="4" max="4" width="19.0"/>
    <col customWidth="1" hidden="1" min="5" max="5" width="5.63"/>
    <col customWidth="1" hidden="1" min="6" max="6" width="10.88"/>
    <col customWidth="1" min="7" max="7" width="3.25"/>
    <col customWidth="1" min="8" max="8" width="13.38"/>
    <col customWidth="1" min="9" max="9" width="12.13"/>
    <col customWidth="1" min="10" max="10" width="12.38"/>
    <col customWidth="1" min="11" max="11" width="10.75"/>
    <col customWidth="1" min="12" max="12" width="2.88"/>
    <col customWidth="1" min="13" max="15" width="10.75" outlineLevel="3"/>
    <col customWidth="1" min="16" max="16" width="3.13"/>
    <col customWidth="1" min="17" max="17" width="10.88"/>
    <col customWidth="1" min="18" max="18" width="7.0"/>
    <col customWidth="1" min="19" max="20" width="9.13"/>
    <col customWidth="1" min="21" max="21" width="11.75"/>
    <col customWidth="1" hidden="1" min="22" max="22" width="16.63"/>
    <col customWidth="1" hidden="1" min="23" max="23" width="9.88"/>
    <col customWidth="1" hidden="1" min="24" max="24" width="13.75"/>
    <col customWidth="1" hidden="1" min="25" max="42" width="8.75"/>
    <col customWidth="1" min="43" max="44" width="9.13"/>
  </cols>
  <sheetData>
    <row r="1">
      <c r="A1" s="1"/>
      <c r="B1" s="2"/>
      <c r="C1" s="3"/>
      <c r="D1" s="3"/>
      <c r="E1" s="4"/>
      <c r="F1" s="3"/>
      <c r="G1" s="5"/>
      <c r="H1" s="6"/>
      <c r="I1" s="6"/>
      <c r="J1" s="6"/>
      <c r="K1" s="7"/>
      <c r="L1" s="7"/>
      <c r="M1" s="7"/>
      <c r="N1" s="7"/>
      <c r="O1" s="7"/>
      <c r="P1" s="4"/>
      <c r="Q1" s="4"/>
      <c r="R1" s="4"/>
      <c r="S1" s="4"/>
      <c r="T1" s="4"/>
      <c r="U1" s="4"/>
      <c r="V1" s="8"/>
      <c r="W1" s="5"/>
      <c r="X1" s="9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</row>
    <row r="2">
      <c r="A2" s="1"/>
      <c r="B2" s="2"/>
      <c r="C2" s="3"/>
      <c r="D2" s="3"/>
      <c r="E2" s="4"/>
      <c r="F2" s="3"/>
      <c r="G2" s="5"/>
      <c r="H2" s="6"/>
      <c r="I2" s="6"/>
      <c r="J2" s="6"/>
      <c r="K2" s="7"/>
      <c r="L2" s="7"/>
      <c r="M2" s="7"/>
      <c r="N2" s="7"/>
      <c r="O2" s="7"/>
      <c r="P2" s="4"/>
      <c r="Q2" s="4"/>
      <c r="R2" s="4"/>
      <c r="S2" s="4"/>
      <c r="T2" s="4"/>
      <c r="U2" s="4"/>
      <c r="V2" s="8"/>
      <c r="W2" s="5"/>
      <c r="X2" s="9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</row>
    <row r="3">
      <c r="A3" s="1"/>
      <c r="B3" s="2"/>
      <c r="C3" s="3"/>
      <c r="D3" s="3"/>
      <c r="E3" s="4"/>
      <c r="F3" s="3"/>
      <c r="G3" s="5"/>
      <c r="H3" s="6"/>
      <c r="I3" s="6"/>
      <c r="J3" s="6"/>
      <c r="K3" s="7"/>
      <c r="L3" s="7"/>
      <c r="M3" s="7"/>
      <c r="N3" s="7"/>
      <c r="O3" s="7"/>
      <c r="P3" s="4"/>
      <c r="Q3" s="4"/>
      <c r="R3" s="4"/>
      <c r="S3" s="4"/>
      <c r="T3" s="4"/>
      <c r="U3" s="4"/>
      <c r="V3" s="8"/>
      <c r="W3" s="5"/>
      <c r="X3" s="9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</row>
    <row r="4">
      <c r="A4" s="1"/>
      <c r="B4" s="2"/>
      <c r="C4" s="3"/>
      <c r="D4" s="3"/>
      <c r="E4" s="4"/>
      <c r="F4" s="3"/>
      <c r="G4" s="5"/>
      <c r="H4" s="6"/>
      <c r="I4" s="6"/>
      <c r="J4" s="6"/>
      <c r="K4" s="7"/>
      <c r="L4" s="7"/>
      <c r="M4" s="7"/>
      <c r="N4" s="7"/>
      <c r="O4" s="7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</row>
    <row r="5">
      <c r="A5" s="1"/>
      <c r="B5" s="2"/>
      <c r="C5" s="3"/>
      <c r="D5" s="3"/>
      <c r="E5" s="4"/>
      <c r="F5" s="3"/>
      <c r="G5" s="5"/>
      <c r="H5" s="6"/>
      <c r="I5" s="6"/>
      <c r="J5" s="6"/>
      <c r="K5" s="7"/>
      <c r="L5" s="7"/>
      <c r="M5" s="7"/>
      <c r="N5" s="7"/>
      <c r="O5" s="7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</row>
    <row r="6">
      <c r="A6" s="10"/>
      <c r="B6" s="11" t="s">
        <v>0</v>
      </c>
      <c r="C6" s="4"/>
      <c r="D6" s="4"/>
      <c r="E6" s="2"/>
      <c r="F6" s="4"/>
      <c r="G6" s="4"/>
      <c r="H6" s="4"/>
      <c r="I6" s="4"/>
      <c r="J6" s="6"/>
      <c r="K6" s="7"/>
      <c r="L6" s="7"/>
      <c r="M6" s="7"/>
      <c r="N6" s="7"/>
      <c r="O6" s="7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</row>
    <row r="7">
      <c r="A7" s="10"/>
      <c r="B7" s="1"/>
      <c r="C7" s="4"/>
      <c r="D7" s="4"/>
      <c r="E7" s="4"/>
      <c r="F7" s="4"/>
      <c r="G7" s="4"/>
      <c r="H7" s="4"/>
      <c r="I7" s="4"/>
      <c r="J7" s="6"/>
      <c r="K7" s="7"/>
      <c r="L7" s="7"/>
      <c r="M7" s="7"/>
      <c r="N7" s="7"/>
      <c r="O7" s="7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</row>
    <row r="8">
      <c r="A8" s="10" t="s">
        <v>1</v>
      </c>
      <c r="B8" s="1" t="s">
        <v>2</v>
      </c>
      <c r="C8" s="4"/>
      <c r="D8" s="84">
        <v>20.0</v>
      </c>
      <c r="E8" s="2"/>
      <c r="F8" s="13"/>
      <c r="G8" s="4"/>
      <c r="H8" s="4"/>
      <c r="I8" s="4"/>
      <c r="J8" s="6"/>
      <c r="K8" s="7"/>
      <c r="L8" s="7"/>
      <c r="M8" s="7"/>
      <c r="N8" s="7"/>
      <c r="O8" s="7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</row>
    <row r="9">
      <c r="A9" s="10"/>
      <c r="B9" s="1"/>
      <c r="C9" s="4"/>
      <c r="D9" s="14"/>
      <c r="E9" s="4"/>
      <c r="F9" s="4"/>
      <c r="G9" s="4"/>
      <c r="H9" s="4"/>
      <c r="I9" s="4"/>
      <c r="J9" s="6"/>
      <c r="K9" s="7"/>
      <c r="L9" s="7"/>
      <c r="M9" s="7"/>
      <c r="N9" s="7"/>
      <c r="O9" s="7"/>
      <c r="P9" s="4"/>
      <c r="Q9" s="4"/>
      <c r="R9" s="4"/>
      <c r="S9" s="15"/>
      <c r="T9" s="4"/>
      <c r="U9" s="4"/>
      <c r="V9" s="8"/>
      <c r="W9" s="5"/>
      <c r="X9" s="9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</row>
    <row r="10">
      <c r="A10" s="10" t="s">
        <v>3</v>
      </c>
      <c r="B10" s="1" t="s">
        <v>4</v>
      </c>
      <c r="C10" s="4"/>
      <c r="D10" s="85">
        <v>5000.0</v>
      </c>
      <c r="E10" s="2"/>
      <c r="F10" s="4"/>
      <c r="G10" s="4"/>
      <c r="H10" s="4"/>
      <c r="I10" s="4"/>
      <c r="J10" s="6"/>
      <c r="K10" s="7"/>
      <c r="L10" s="7"/>
      <c r="M10" s="7"/>
      <c r="N10" s="7"/>
      <c r="O10" s="7"/>
      <c r="P10" s="4"/>
      <c r="Q10" s="4"/>
      <c r="R10" s="4"/>
      <c r="S10" s="15"/>
      <c r="T10" s="15"/>
      <c r="U10" s="15"/>
      <c r="V10" s="3"/>
      <c r="W10" s="16"/>
      <c r="X10" s="6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15"/>
      <c r="AR10" s="15"/>
    </row>
    <row r="11">
      <c r="A11" s="10"/>
      <c r="B11" s="1"/>
      <c r="C11" s="4"/>
      <c r="D11" s="4"/>
      <c r="E11" s="4"/>
      <c r="F11" s="4"/>
      <c r="G11" s="4"/>
      <c r="H11" s="4"/>
      <c r="I11" s="4"/>
      <c r="J11" s="6"/>
      <c r="K11" s="7"/>
      <c r="L11" s="7"/>
      <c r="M11" s="7"/>
      <c r="N11" s="7"/>
      <c r="O11" s="7"/>
      <c r="P11" s="4"/>
      <c r="Q11" s="4"/>
      <c r="R11" s="4"/>
      <c r="S11" s="4"/>
      <c r="T11" s="15"/>
      <c r="U11" s="15"/>
      <c r="V11" s="3"/>
      <c r="W11" s="16"/>
      <c r="X11" s="6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15"/>
      <c r="AR11" s="15"/>
    </row>
    <row r="12">
      <c r="A12" s="10" t="s">
        <v>5</v>
      </c>
      <c r="B12" s="1" t="s">
        <v>6</v>
      </c>
      <c r="C12" s="4"/>
      <c r="D12" s="86">
        <v>0.125</v>
      </c>
      <c r="E12" s="2"/>
      <c r="F12" s="4"/>
      <c r="G12" s="4"/>
      <c r="H12" s="4"/>
      <c r="I12" s="4"/>
      <c r="J12" s="6"/>
      <c r="K12" s="7"/>
      <c r="L12" s="7"/>
      <c r="M12" s="7"/>
      <c r="N12" s="7"/>
      <c r="O12" s="7"/>
      <c r="P12" s="4"/>
      <c r="Q12" s="4"/>
      <c r="R12" s="4"/>
      <c r="S12" s="4"/>
      <c r="T12" s="15"/>
      <c r="U12" s="15"/>
      <c r="V12" s="3"/>
      <c r="W12" s="16"/>
      <c r="X12" s="6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15"/>
      <c r="AR12" s="15"/>
    </row>
    <row r="13">
      <c r="A13" s="18"/>
      <c r="B13" s="4"/>
      <c r="C13" s="4"/>
      <c r="D13" s="4"/>
      <c r="E13" s="4"/>
      <c r="F13" s="4"/>
      <c r="G13" s="4"/>
      <c r="H13" s="4"/>
      <c r="I13" s="4"/>
      <c r="J13" s="6"/>
      <c r="K13" s="7"/>
      <c r="L13" s="7"/>
      <c r="M13" s="7"/>
      <c r="N13" s="7"/>
      <c r="O13" s="7"/>
      <c r="P13" s="4"/>
      <c r="Q13" s="4"/>
      <c r="R13" s="4"/>
      <c r="S13" s="4"/>
      <c r="T13" s="4"/>
      <c r="U13" s="4"/>
      <c r="V13" s="8"/>
      <c r="W13" s="5"/>
      <c r="X13" s="9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</row>
    <row r="14">
      <c r="A14" s="18"/>
      <c r="B14" s="10" t="s">
        <v>7</v>
      </c>
      <c r="C14" s="4"/>
      <c r="D14" s="20">
        <f>IF(COUNTIF('gerenciamento ($)'!$W$4:$W$368,"meta")&gt;=1,COUNTIF('gerenciamento ($)'!$W$4:$W$368,"meta")+1,COUNTIF('gerenciamento ($)'!$W$4:$W$368,"meta"))</f>
        <v>47</v>
      </c>
      <c r="E14" s="21" t="s">
        <v>32</v>
      </c>
      <c r="F14" s="22"/>
      <c r="G14" s="23" t="s">
        <v>33</v>
      </c>
      <c r="H14" s="24"/>
      <c r="I14" s="24"/>
      <c r="J14" s="24"/>
      <c r="K14" s="7"/>
      <c r="L14" s="7"/>
      <c r="M14" s="7"/>
      <c r="N14" s="7"/>
      <c r="O14" s="7"/>
      <c r="P14" s="4"/>
      <c r="Q14" s="4"/>
      <c r="R14" s="4"/>
      <c r="S14" s="4"/>
      <c r="T14" s="4"/>
      <c r="U14" s="4"/>
      <c r="V14" s="8"/>
      <c r="W14" s="5"/>
      <c r="X14" s="9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</row>
    <row r="15">
      <c r="A15" s="18"/>
      <c r="B15" s="4"/>
      <c r="C15" s="4"/>
      <c r="D15" s="4"/>
      <c r="E15" s="25"/>
      <c r="F15" s="4"/>
      <c r="G15" s="4"/>
      <c r="H15" s="4"/>
      <c r="I15" s="4"/>
      <c r="J15" s="6"/>
      <c r="K15" s="7"/>
      <c r="L15" s="7"/>
      <c r="M15" s="7"/>
      <c r="N15" s="7"/>
      <c r="O15" s="7"/>
      <c r="P15" s="4"/>
      <c r="Q15" s="4"/>
      <c r="R15" s="4"/>
      <c r="S15" s="4"/>
      <c r="T15" s="4"/>
      <c r="U15" s="4"/>
      <c r="V15" s="8"/>
      <c r="W15" s="5"/>
      <c r="X15" s="9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</row>
    <row r="16">
      <c r="A16" s="26"/>
      <c r="B16" s="27"/>
      <c r="C16" s="28"/>
      <c r="D16" s="28"/>
      <c r="E16" s="29"/>
      <c r="F16" s="28"/>
      <c r="G16" s="30"/>
      <c r="H16" s="31"/>
      <c r="I16" s="31"/>
      <c r="J16" s="31"/>
      <c r="K16" s="32"/>
      <c r="L16" s="32"/>
      <c r="M16" s="32"/>
      <c r="N16" s="32"/>
      <c r="O16" s="32"/>
      <c r="P16" s="29"/>
      <c r="Q16" s="29"/>
      <c r="R16" s="29"/>
      <c r="S16" s="29"/>
      <c r="T16" s="4"/>
      <c r="U16" s="4"/>
      <c r="V16" s="8"/>
      <c r="W16" s="5"/>
      <c r="X16" s="9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</row>
    <row r="17" ht="22.5" customHeight="1">
      <c r="A17" s="33"/>
      <c r="B17" s="2"/>
      <c r="C17" s="3"/>
      <c r="D17" s="3"/>
      <c r="E17" s="4"/>
      <c r="F17" s="3"/>
      <c r="G17" s="5"/>
      <c r="H17" s="6"/>
      <c r="I17" s="6"/>
      <c r="J17" s="6"/>
      <c r="K17" s="7"/>
      <c r="L17" s="7"/>
      <c r="M17" s="7"/>
      <c r="N17" s="87">
        <v>0.79</v>
      </c>
      <c r="O17" s="7"/>
      <c r="P17" s="4"/>
      <c r="Q17" s="4"/>
      <c r="R17" s="4"/>
      <c r="S17" s="4"/>
      <c r="T17" s="4"/>
      <c r="U17" s="4"/>
      <c r="V17" s="8"/>
      <c r="W17" s="5"/>
      <c r="X17" s="9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</row>
    <row r="18" ht="22.5" customHeight="1">
      <c r="A18" s="1"/>
      <c r="B18" s="36" t="s">
        <v>10</v>
      </c>
      <c r="C18" s="37" t="s">
        <v>11</v>
      </c>
      <c r="D18" s="38"/>
      <c r="E18" s="39" t="s">
        <v>12</v>
      </c>
      <c r="F18" s="38"/>
      <c r="G18" s="5"/>
      <c r="H18" s="88" t="s">
        <v>13</v>
      </c>
      <c r="I18" s="41"/>
      <c r="J18" s="41"/>
      <c r="K18" s="41"/>
      <c r="L18" s="4"/>
      <c r="M18" s="43" t="s">
        <v>14</v>
      </c>
      <c r="P18" s="4"/>
      <c r="Q18" s="44" t="s">
        <v>15</v>
      </c>
      <c r="T18" s="45"/>
      <c r="U18" s="4"/>
      <c r="V18" s="46"/>
      <c r="W18" s="5"/>
      <c r="X18" s="46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</row>
    <row r="19" ht="24.75" customHeight="1">
      <c r="A19" s="1"/>
      <c r="B19" s="47"/>
      <c r="C19" s="48" t="s">
        <v>16</v>
      </c>
      <c r="D19" s="48" t="s">
        <v>17</v>
      </c>
      <c r="E19" s="49">
        <v>1.0</v>
      </c>
      <c r="F19" s="48" t="s">
        <v>18</v>
      </c>
      <c r="G19" s="5"/>
      <c r="H19" s="50" t="s">
        <v>19</v>
      </c>
      <c r="I19" s="48" t="s">
        <v>20</v>
      </c>
      <c r="J19" s="48" t="s">
        <v>21</v>
      </c>
      <c r="K19" s="51" t="s">
        <v>22</v>
      </c>
      <c r="L19" s="42"/>
      <c r="M19" s="48" t="s">
        <v>23</v>
      </c>
      <c r="N19" s="48" t="s">
        <v>24</v>
      </c>
      <c r="O19" s="48" t="s">
        <v>25</v>
      </c>
      <c r="P19" s="4"/>
      <c r="Q19" s="52" t="s">
        <v>26</v>
      </c>
      <c r="R19" s="53">
        <f>IF(COUNTIF($G$20:$G$384,"meta")&gt;=1,COUNTIF($G$20:$G$384,"meta")+1,COUNTIF($G$20:$G$384,"meta"))</f>
        <v>39</v>
      </c>
      <c r="S19" s="54" t="s">
        <v>27</v>
      </c>
      <c r="T19" s="4"/>
      <c r="U19" s="4"/>
      <c r="V19" s="55" t="s">
        <v>16</v>
      </c>
      <c r="W19" s="5"/>
      <c r="X19" s="55" t="s">
        <v>19</v>
      </c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</row>
    <row r="20" ht="21.0" customHeight="1">
      <c r="A20" s="56" t="s">
        <v>28</v>
      </c>
      <c r="B20" s="57">
        <v>1.0</v>
      </c>
      <c r="C20" s="89">
        <f>D8*D12+D8</f>
        <v>22.5</v>
      </c>
      <c r="D20" s="89">
        <f>C20-$D$8</f>
        <v>2.5</v>
      </c>
      <c r="E20" s="59">
        <v>0.8</v>
      </c>
      <c r="F20" s="60">
        <f t="shared" ref="F20:F384" si="1">IF(COUNTBLANK(E20)=0,(D20/E20)/$E$19,"-")</f>
        <v>3.125</v>
      </c>
      <c r="G20" s="5" t="str">
        <f t="shared" ref="G20:G384" si="2">IF(COUNTBLANK(H20)=1,IF(C20&lt;=$D$10,"meta","nops"),"")</f>
        <v/>
      </c>
      <c r="H20" s="90">
        <v>25.62</v>
      </c>
      <c r="I20" s="91">
        <f>IF(COUNTBLANK(H20)=1,"",H20-$D$8)</f>
        <v>5.62</v>
      </c>
      <c r="J20" s="91">
        <f t="shared" ref="J20:J384" si="3">IF(I20="","",I20-D20)</f>
        <v>3.12</v>
      </c>
      <c r="K20" s="63">
        <f>IF(COUNTBLANK(H20)=1,"",(H20-$D$8)/$D$8)</f>
        <v>0.281</v>
      </c>
      <c r="L20" s="64"/>
      <c r="M20" s="92">
        <f t="shared" ref="M20:M83" si="4">D20/$N$17</f>
        <v>3.164556962</v>
      </c>
      <c r="N20" s="92">
        <f t="shared" ref="N20:N83" si="5">D20+M20/$N$17</f>
        <v>6.505768306</v>
      </c>
      <c r="O20" s="92">
        <f t="shared" ref="O20:O83" si="6">D20+N20/$N$17</f>
        <v>10.73514975</v>
      </c>
      <c r="P20" s="4"/>
      <c r="Q20" s="66"/>
      <c r="R20" s="66"/>
      <c r="S20" s="66"/>
      <c r="T20" s="4"/>
      <c r="U20" s="4"/>
      <c r="V20" s="8">
        <f>(D8*D12)+D8</f>
        <v>22.5</v>
      </c>
      <c r="W20" s="5" t="str">
        <f t="shared" ref="W20:W384" si="7">IF(COUNTBLANK(X20)=1,IF(V20&lt;=$D$10,"meta","nops"),"")</f>
        <v>meta</v>
      </c>
      <c r="X20" s="67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</row>
    <row r="21" ht="19.5" customHeight="1">
      <c r="A21" s="56" t="s">
        <v>28</v>
      </c>
      <c r="B21" s="57">
        <v>2.0</v>
      </c>
      <c r="C21" s="89">
        <f t="shared" ref="C21:C384" si="8">IF(COUNTBLANK(H20)=1,(C20*$D$12)+C20,(H20*$D$12)+H20)</f>
        <v>28.8225</v>
      </c>
      <c r="D21" s="89">
        <f t="shared" ref="D21:D384" si="9">IF(COUNTBLANK(H20)=1,C21-C20,C21-H20)</f>
        <v>3.2025</v>
      </c>
      <c r="E21" s="59"/>
      <c r="F21" s="60" t="str">
        <f t="shared" si="1"/>
        <v>-</v>
      </c>
      <c r="G21" s="5" t="str">
        <f t="shared" si="2"/>
        <v/>
      </c>
      <c r="H21" s="90">
        <v>33.9</v>
      </c>
      <c r="I21" s="91">
        <f t="shared" ref="I21:I384" si="10">IF(COUNTBLANK(H21)=1,"",H21-H20)</f>
        <v>8.28</v>
      </c>
      <c r="J21" s="91">
        <f t="shared" si="3"/>
        <v>5.0775</v>
      </c>
      <c r="K21" s="68">
        <f t="shared" ref="K21:K384" si="11">IF(COUNTBLANK(H21)=1,"",(H21-H20)/H20)</f>
        <v>0.3231850117</v>
      </c>
      <c r="L21" s="64"/>
      <c r="M21" s="92">
        <f t="shared" si="4"/>
        <v>4.053797468</v>
      </c>
      <c r="N21" s="92">
        <f t="shared" si="5"/>
        <v>8.3338892</v>
      </c>
      <c r="O21" s="92">
        <f t="shared" si="6"/>
        <v>13.75172684</v>
      </c>
      <c r="P21" s="4"/>
      <c r="Q21" s="44" t="s">
        <v>29</v>
      </c>
      <c r="T21" s="4"/>
      <c r="U21" s="4"/>
      <c r="V21" s="8">
        <f t="shared" ref="V21:V384" si="12">IF(COUNTBLANK(X20)=1,(V20*$D$12)+V20,(X20*$D$12)+X20)</f>
        <v>25.3125</v>
      </c>
      <c r="W21" s="5" t="str">
        <f t="shared" si="7"/>
        <v>meta</v>
      </c>
      <c r="X21" s="67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</row>
    <row r="22" ht="19.5" customHeight="1">
      <c r="A22" s="56" t="s">
        <v>28</v>
      </c>
      <c r="B22" s="57">
        <v>3.0</v>
      </c>
      <c r="C22" s="89">
        <f t="shared" si="8"/>
        <v>38.1375</v>
      </c>
      <c r="D22" s="89">
        <f t="shared" si="9"/>
        <v>4.2375</v>
      </c>
      <c r="E22" s="59"/>
      <c r="F22" s="60" t="str">
        <f t="shared" si="1"/>
        <v>-</v>
      </c>
      <c r="G22" s="5" t="str">
        <f t="shared" si="2"/>
        <v/>
      </c>
      <c r="H22" s="90">
        <v>41.66</v>
      </c>
      <c r="I22" s="93">
        <f t="shared" si="10"/>
        <v>7.76</v>
      </c>
      <c r="J22" s="91">
        <f t="shared" si="3"/>
        <v>3.5225</v>
      </c>
      <c r="K22" s="68">
        <f t="shared" si="11"/>
        <v>0.2289085546</v>
      </c>
      <c r="L22" s="64"/>
      <c r="M22" s="92">
        <f t="shared" si="4"/>
        <v>5.363924051</v>
      </c>
      <c r="N22" s="92">
        <f t="shared" si="5"/>
        <v>11.02727728</v>
      </c>
      <c r="O22" s="92">
        <f t="shared" si="6"/>
        <v>18.19607883</v>
      </c>
      <c r="P22" s="4"/>
      <c r="Q22" s="71">
        <f>(($Q$23+$D$8)-$D$8)/$D$8</f>
        <v>1.8</v>
      </c>
      <c r="R22" s="72" t="s">
        <v>30</v>
      </c>
      <c r="S22" s="73" t="str">
        <f>CONCATENATE(COUNT($K$20:$K$384)," dia(s)")</f>
        <v>4 dia(s)</v>
      </c>
      <c r="T22" s="4"/>
      <c r="U22" s="4"/>
      <c r="V22" s="8">
        <f t="shared" si="12"/>
        <v>28.4765625</v>
      </c>
      <c r="W22" s="5" t="str">
        <f t="shared" si="7"/>
        <v>meta</v>
      </c>
      <c r="X22" s="67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</row>
    <row r="23" ht="21.75" customHeight="1">
      <c r="A23" s="56" t="s">
        <v>28</v>
      </c>
      <c r="B23" s="57">
        <v>4.0</v>
      </c>
      <c r="C23" s="89">
        <f t="shared" si="8"/>
        <v>46.8675</v>
      </c>
      <c r="D23" s="89">
        <f t="shared" si="9"/>
        <v>5.2075</v>
      </c>
      <c r="E23" s="59"/>
      <c r="F23" s="60" t="str">
        <f t="shared" si="1"/>
        <v>-</v>
      </c>
      <c r="G23" s="5" t="str">
        <f t="shared" si="2"/>
        <v/>
      </c>
      <c r="H23" s="90">
        <v>56.0</v>
      </c>
      <c r="I23" s="91">
        <f t="shared" si="10"/>
        <v>14.34</v>
      </c>
      <c r="J23" s="91">
        <f t="shared" si="3"/>
        <v>9.1325</v>
      </c>
      <c r="K23" s="68">
        <f t="shared" si="11"/>
        <v>0.3442150744</v>
      </c>
      <c r="L23" s="64"/>
      <c r="M23" s="92">
        <f t="shared" si="4"/>
        <v>6.591772152</v>
      </c>
      <c r="N23" s="92">
        <f t="shared" si="5"/>
        <v>13.55151538</v>
      </c>
      <c r="O23" s="92">
        <f t="shared" si="6"/>
        <v>22.36131694</v>
      </c>
      <c r="P23" s="4"/>
      <c r="Q23" s="74">
        <f>SUM($I$20:$I$384)</f>
        <v>36</v>
      </c>
      <c r="R23" s="75"/>
      <c r="S23" s="76"/>
      <c r="T23" s="77">
        <f>COUNT($K$20:$K$384)</f>
        <v>4</v>
      </c>
      <c r="U23" s="4"/>
      <c r="V23" s="8">
        <f t="shared" si="12"/>
        <v>32.03613281</v>
      </c>
      <c r="W23" s="5" t="str">
        <f t="shared" si="7"/>
        <v>meta</v>
      </c>
      <c r="X23" s="67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</row>
    <row r="24" ht="18.75" customHeight="1">
      <c r="A24" s="56" t="s">
        <v>28</v>
      </c>
      <c r="B24" s="57">
        <v>5.0</v>
      </c>
      <c r="C24" s="89">
        <f t="shared" si="8"/>
        <v>63</v>
      </c>
      <c r="D24" s="89">
        <f t="shared" si="9"/>
        <v>7</v>
      </c>
      <c r="E24" s="59"/>
      <c r="F24" s="60" t="str">
        <f t="shared" si="1"/>
        <v>-</v>
      </c>
      <c r="G24" s="5" t="str">
        <f t="shared" si="2"/>
        <v>meta</v>
      </c>
      <c r="H24" s="90"/>
      <c r="I24" s="91" t="str">
        <f t="shared" si="10"/>
        <v/>
      </c>
      <c r="J24" s="91" t="str">
        <f t="shared" si="3"/>
        <v/>
      </c>
      <c r="K24" s="68" t="str">
        <f t="shared" si="11"/>
        <v/>
      </c>
      <c r="L24" s="64"/>
      <c r="M24" s="92">
        <f t="shared" si="4"/>
        <v>8.860759494</v>
      </c>
      <c r="N24" s="92">
        <f t="shared" si="5"/>
        <v>18.21615126</v>
      </c>
      <c r="O24" s="92">
        <f t="shared" si="6"/>
        <v>30.05841931</v>
      </c>
      <c r="P24" s="4"/>
      <c r="Q24" s="4"/>
      <c r="R24" s="4"/>
      <c r="S24" s="4"/>
      <c r="T24" s="4"/>
      <c r="U24" s="6"/>
      <c r="V24" s="8">
        <f t="shared" si="12"/>
        <v>36.04064941</v>
      </c>
      <c r="W24" s="5" t="str">
        <f t="shared" si="7"/>
        <v>meta</v>
      </c>
      <c r="X24" s="67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</row>
    <row r="25" ht="18.75" customHeight="1">
      <c r="A25" s="56" t="s">
        <v>28</v>
      </c>
      <c r="B25" s="57">
        <v>6.0</v>
      </c>
      <c r="C25" s="89">
        <f t="shared" si="8"/>
        <v>70.875</v>
      </c>
      <c r="D25" s="89">
        <f t="shared" si="9"/>
        <v>7.875</v>
      </c>
      <c r="E25" s="59"/>
      <c r="F25" s="60" t="str">
        <f t="shared" si="1"/>
        <v>-</v>
      </c>
      <c r="G25" s="5" t="str">
        <f t="shared" si="2"/>
        <v>meta</v>
      </c>
      <c r="H25" s="90"/>
      <c r="I25" s="91" t="str">
        <f t="shared" si="10"/>
        <v/>
      </c>
      <c r="J25" s="91" t="str">
        <f t="shared" si="3"/>
        <v/>
      </c>
      <c r="K25" s="68" t="str">
        <f t="shared" si="11"/>
        <v/>
      </c>
      <c r="L25" s="64"/>
      <c r="M25" s="92">
        <f t="shared" si="4"/>
        <v>9.96835443</v>
      </c>
      <c r="N25" s="92">
        <f t="shared" si="5"/>
        <v>20.49317017</v>
      </c>
      <c r="O25" s="92">
        <f t="shared" si="6"/>
        <v>33.81572173</v>
      </c>
      <c r="P25" s="4"/>
      <c r="Q25" s="44" t="s">
        <v>31</v>
      </c>
      <c r="T25" s="4"/>
      <c r="U25" s="78"/>
      <c r="V25" s="8">
        <f t="shared" si="12"/>
        <v>40.54573059</v>
      </c>
      <c r="W25" s="5" t="str">
        <f t="shared" si="7"/>
        <v>meta</v>
      </c>
      <c r="X25" s="67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</row>
    <row r="26" ht="21.0" customHeight="1">
      <c r="A26" s="56" t="s">
        <v>28</v>
      </c>
      <c r="B26" s="57">
        <v>7.0</v>
      </c>
      <c r="C26" s="89">
        <f t="shared" si="8"/>
        <v>79.734375</v>
      </c>
      <c r="D26" s="89">
        <f t="shared" si="9"/>
        <v>8.859375</v>
      </c>
      <c r="E26" s="59"/>
      <c r="F26" s="60" t="str">
        <f t="shared" si="1"/>
        <v>-</v>
      </c>
      <c r="G26" s="5" t="str">
        <f t="shared" si="2"/>
        <v>meta</v>
      </c>
      <c r="H26" s="90"/>
      <c r="I26" s="91" t="str">
        <f t="shared" si="10"/>
        <v/>
      </c>
      <c r="J26" s="91" t="str">
        <f t="shared" si="3"/>
        <v/>
      </c>
      <c r="K26" s="68" t="str">
        <f t="shared" si="11"/>
        <v/>
      </c>
      <c r="L26" s="64"/>
      <c r="M26" s="92">
        <f t="shared" si="4"/>
        <v>11.21439873</v>
      </c>
      <c r="N26" s="92">
        <f t="shared" si="5"/>
        <v>23.05481644</v>
      </c>
      <c r="O26" s="92">
        <f t="shared" si="6"/>
        <v>38.04268694</v>
      </c>
      <c r="P26" s="4"/>
      <c r="Q26" s="79">
        <f>IFERROR($Q$22/$T$23,0)</f>
        <v>0.45</v>
      </c>
      <c r="R26" s="80" t="s">
        <v>30</v>
      </c>
      <c r="S26" s="81" t="str">
        <f>CONCATENATE(COUNT($K$20:$K$384)," dia(s)")</f>
        <v>4 dia(s)</v>
      </c>
      <c r="T26" s="4"/>
      <c r="U26" s="4"/>
      <c r="V26" s="8">
        <f t="shared" si="12"/>
        <v>45.61394691</v>
      </c>
      <c r="W26" s="5" t="str">
        <f t="shared" si="7"/>
        <v>meta</v>
      </c>
      <c r="X26" s="67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</row>
    <row r="27" ht="21.0" customHeight="1">
      <c r="A27" s="56" t="s">
        <v>28</v>
      </c>
      <c r="B27" s="57">
        <v>8.0</v>
      </c>
      <c r="C27" s="89">
        <f t="shared" si="8"/>
        <v>89.70117188</v>
      </c>
      <c r="D27" s="89">
        <f t="shared" si="9"/>
        <v>9.966796875</v>
      </c>
      <c r="E27" s="59"/>
      <c r="F27" s="60" t="str">
        <f t="shared" si="1"/>
        <v>-</v>
      </c>
      <c r="G27" s="5" t="str">
        <f t="shared" si="2"/>
        <v>meta</v>
      </c>
      <c r="H27" s="90"/>
      <c r="I27" s="91" t="str">
        <f t="shared" si="10"/>
        <v/>
      </c>
      <c r="J27" s="91" t="str">
        <f t="shared" si="3"/>
        <v/>
      </c>
      <c r="K27" s="68" t="str">
        <f t="shared" si="11"/>
        <v/>
      </c>
      <c r="L27" s="64"/>
      <c r="M27" s="92">
        <f t="shared" si="4"/>
        <v>12.61619858</v>
      </c>
      <c r="N27" s="92">
        <f t="shared" si="5"/>
        <v>25.93666849</v>
      </c>
      <c r="O27" s="92">
        <f t="shared" si="6"/>
        <v>42.79802281</v>
      </c>
      <c r="P27" s="4"/>
      <c r="Q27" s="66"/>
      <c r="R27" s="66"/>
      <c r="S27" s="82"/>
      <c r="T27" s="4"/>
      <c r="U27" s="4"/>
      <c r="V27" s="8">
        <f t="shared" si="12"/>
        <v>51.31569028</v>
      </c>
      <c r="W27" s="5" t="str">
        <f t="shared" si="7"/>
        <v>meta</v>
      </c>
      <c r="X27" s="67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</row>
    <row r="28" ht="19.5" customHeight="1">
      <c r="A28" s="56" t="s">
        <v>28</v>
      </c>
      <c r="B28" s="57">
        <v>9.0</v>
      </c>
      <c r="C28" s="89">
        <f t="shared" si="8"/>
        <v>100.9138184</v>
      </c>
      <c r="D28" s="89">
        <f t="shared" si="9"/>
        <v>11.21264648</v>
      </c>
      <c r="E28" s="59"/>
      <c r="F28" s="60" t="str">
        <f t="shared" si="1"/>
        <v>-</v>
      </c>
      <c r="G28" s="5" t="str">
        <f t="shared" si="2"/>
        <v>meta</v>
      </c>
      <c r="H28" s="90"/>
      <c r="I28" s="91" t="str">
        <f t="shared" si="10"/>
        <v/>
      </c>
      <c r="J28" s="91" t="str">
        <f t="shared" si="3"/>
        <v/>
      </c>
      <c r="K28" s="68" t="str">
        <f t="shared" si="11"/>
        <v/>
      </c>
      <c r="L28" s="64"/>
      <c r="M28" s="92">
        <f t="shared" si="4"/>
        <v>14.1932234</v>
      </c>
      <c r="N28" s="92">
        <f t="shared" si="5"/>
        <v>29.17875205</v>
      </c>
      <c r="O28" s="92">
        <f t="shared" si="6"/>
        <v>48.14777566</v>
      </c>
      <c r="P28" s="4"/>
      <c r="Q28" s="4"/>
      <c r="R28" s="4"/>
      <c r="S28" s="4"/>
      <c r="T28" s="4"/>
      <c r="U28" s="4"/>
      <c r="V28" s="8">
        <f t="shared" si="12"/>
        <v>57.73015156</v>
      </c>
      <c r="W28" s="5" t="str">
        <f t="shared" si="7"/>
        <v>meta</v>
      </c>
      <c r="X28" s="67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</row>
    <row r="29" ht="19.5" customHeight="1">
      <c r="A29" s="56" t="s">
        <v>28</v>
      </c>
      <c r="B29" s="57">
        <v>10.0</v>
      </c>
      <c r="C29" s="89">
        <f t="shared" si="8"/>
        <v>113.5280457</v>
      </c>
      <c r="D29" s="89">
        <f t="shared" si="9"/>
        <v>12.61422729</v>
      </c>
      <c r="E29" s="59"/>
      <c r="F29" s="60" t="str">
        <f t="shared" si="1"/>
        <v>-</v>
      </c>
      <c r="G29" s="5" t="str">
        <f t="shared" si="2"/>
        <v>meta</v>
      </c>
      <c r="H29" s="90"/>
      <c r="I29" s="91" t="str">
        <f t="shared" si="10"/>
        <v/>
      </c>
      <c r="J29" s="91" t="str">
        <f t="shared" si="3"/>
        <v/>
      </c>
      <c r="K29" s="68" t="str">
        <f t="shared" si="11"/>
        <v/>
      </c>
      <c r="L29" s="64"/>
      <c r="M29" s="92">
        <f t="shared" si="4"/>
        <v>15.96737632</v>
      </c>
      <c r="N29" s="92">
        <f t="shared" si="5"/>
        <v>32.82609606</v>
      </c>
      <c r="O29" s="92">
        <f t="shared" si="6"/>
        <v>54.16624762</v>
      </c>
      <c r="P29" s="4"/>
      <c r="Q29" s="4"/>
      <c r="R29" s="4"/>
      <c r="S29" s="4"/>
      <c r="T29" s="4"/>
      <c r="U29" s="4"/>
      <c r="V29" s="8">
        <f t="shared" si="12"/>
        <v>64.94642051</v>
      </c>
      <c r="W29" s="5" t="str">
        <f t="shared" si="7"/>
        <v>meta</v>
      </c>
      <c r="X29" s="67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</row>
    <row r="30" ht="19.5" customHeight="1">
      <c r="A30" s="56" t="s">
        <v>28</v>
      </c>
      <c r="B30" s="57">
        <v>11.0</v>
      </c>
      <c r="C30" s="89">
        <f t="shared" si="8"/>
        <v>127.7190514</v>
      </c>
      <c r="D30" s="89">
        <f t="shared" si="9"/>
        <v>14.19100571</v>
      </c>
      <c r="E30" s="59"/>
      <c r="F30" s="60" t="str">
        <f t="shared" si="1"/>
        <v>-</v>
      </c>
      <c r="G30" s="5" t="str">
        <f t="shared" si="2"/>
        <v>meta</v>
      </c>
      <c r="H30" s="94"/>
      <c r="I30" s="91" t="str">
        <f t="shared" si="10"/>
        <v/>
      </c>
      <c r="J30" s="91" t="str">
        <f t="shared" si="3"/>
        <v/>
      </c>
      <c r="K30" s="68" t="str">
        <f t="shared" si="11"/>
        <v/>
      </c>
      <c r="L30" s="64"/>
      <c r="M30" s="92">
        <f t="shared" si="4"/>
        <v>17.96329836</v>
      </c>
      <c r="N30" s="92">
        <f t="shared" si="5"/>
        <v>36.92935807</v>
      </c>
      <c r="O30" s="92">
        <f t="shared" si="6"/>
        <v>60.93702857</v>
      </c>
      <c r="P30" s="4"/>
      <c r="Q30" s="4"/>
      <c r="R30" s="4"/>
      <c r="S30" s="4"/>
      <c r="T30" s="4"/>
      <c r="U30" s="4"/>
      <c r="V30" s="8">
        <f t="shared" si="12"/>
        <v>73.06472307</v>
      </c>
      <c r="W30" s="5" t="str">
        <f t="shared" si="7"/>
        <v>meta</v>
      </c>
      <c r="X30" s="67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</row>
    <row r="31" ht="19.5" customHeight="1">
      <c r="A31" s="56" t="s">
        <v>28</v>
      </c>
      <c r="B31" s="57">
        <v>12.0</v>
      </c>
      <c r="C31" s="89">
        <f t="shared" si="8"/>
        <v>143.6839328</v>
      </c>
      <c r="D31" s="89">
        <f t="shared" si="9"/>
        <v>15.96488142</v>
      </c>
      <c r="E31" s="59"/>
      <c r="F31" s="60" t="str">
        <f t="shared" si="1"/>
        <v>-</v>
      </c>
      <c r="G31" s="5" t="str">
        <f t="shared" si="2"/>
        <v>meta</v>
      </c>
      <c r="H31" s="94"/>
      <c r="I31" s="91" t="str">
        <f t="shared" si="10"/>
        <v/>
      </c>
      <c r="J31" s="91" t="str">
        <f t="shared" si="3"/>
        <v/>
      </c>
      <c r="K31" s="68" t="str">
        <f t="shared" si="11"/>
        <v/>
      </c>
      <c r="L31" s="64"/>
      <c r="M31" s="92">
        <f t="shared" si="4"/>
        <v>20.20871066</v>
      </c>
      <c r="N31" s="92">
        <f t="shared" si="5"/>
        <v>41.54552782</v>
      </c>
      <c r="O31" s="92">
        <f t="shared" si="6"/>
        <v>68.55415715</v>
      </c>
      <c r="P31" s="4"/>
      <c r="Q31" s="4"/>
      <c r="R31" s="4"/>
      <c r="S31" s="4"/>
      <c r="T31" s="4"/>
      <c r="U31" s="4"/>
      <c r="V31" s="8">
        <f t="shared" si="12"/>
        <v>82.19781346</v>
      </c>
      <c r="W31" s="5" t="str">
        <f t="shared" si="7"/>
        <v>meta</v>
      </c>
      <c r="X31" s="67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</row>
    <row r="32" ht="19.5" customHeight="1">
      <c r="A32" s="56" t="s">
        <v>28</v>
      </c>
      <c r="B32" s="57">
        <v>13.0</v>
      </c>
      <c r="C32" s="89">
        <f t="shared" si="8"/>
        <v>161.6444244</v>
      </c>
      <c r="D32" s="89">
        <f t="shared" si="9"/>
        <v>17.9604916</v>
      </c>
      <c r="E32" s="59"/>
      <c r="F32" s="60" t="str">
        <f t="shared" si="1"/>
        <v>-</v>
      </c>
      <c r="G32" s="5" t="str">
        <f t="shared" si="2"/>
        <v>meta</v>
      </c>
      <c r="H32" s="94"/>
      <c r="I32" s="91" t="str">
        <f t="shared" si="10"/>
        <v/>
      </c>
      <c r="J32" s="91" t="str">
        <f t="shared" si="3"/>
        <v/>
      </c>
      <c r="K32" s="68" t="str">
        <f t="shared" si="11"/>
        <v/>
      </c>
      <c r="L32" s="64"/>
      <c r="M32" s="92">
        <f t="shared" si="4"/>
        <v>22.73479949</v>
      </c>
      <c r="N32" s="92">
        <f t="shared" si="5"/>
        <v>46.7387188</v>
      </c>
      <c r="O32" s="92">
        <f t="shared" si="6"/>
        <v>77.12342679</v>
      </c>
      <c r="P32" s="4"/>
      <c r="Q32" s="4"/>
      <c r="R32" s="4"/>
      <c r="S32" s="4"/>
      <c r="T32" s="4"/>
      <c r="U32" s="4"/>
      <c r="V32" s="8">
        <f t="shared" si="12"/>
        <v>92.47254014</v>
      </c>
      <c r="W32" s="5" t="str">
        <f t="shared" si="7"/>
        <v>meta</v>
      </c>
      <c r="X32" s="67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</row>
    <row r="33" ht="19.5" customHeight="1">
      <c r="A33" s="56" t="s">
        <v>28</v>
      </c>
      <c r="B33" s="57">
        <v>14.0</v>
      </c>
      <c r="C33" s="89">
        <f t="shared" si="8"/>
        <v>181.8499774</v>
      </c>
      <c r="D33" s="89">
        <f t="shared" si="9"/>
        <v>20.20555305</v>
      </c>
      <c r="E33" s="59"/>
      <c r="F33" s="60" t="str">
        <f t="shared" si="1"/>
        <v>-</v>
      </c>
      <c r="G33" s="5" t="str">
        <f t="shared" si="2"/>
        <v>meta</v>
      </c>
      <c r="H33" s="94"/>
      <c r="I33" s="91" t="str">
        <f t="shared" si="10"/>
        <v/>
      </c>
      <c r="J33" s="91" t="str">
        <f t="shared" si="3"/>
        <v/>
      </c>
      <c r="K33" s="68" t="str">
        <f t="shared" si="11"/>
        <v/>
      </c>
      <c r="L33" s="64"/>
      <c r="M33" s="92">
        <f t="shared" si="4"/>
        <v>25.57664943</v>
      </c>
      <c r="N33" s="92">
        <f t="shared" si="5"/>
        <v>52.58105865</v>
      </c>
      <c r="O33" s="92">
        <f t="shared" si="6"/>
        <v>86.76385514</v>
      </c>
      <c r="P33" s="4"/>
      <c r="Q33" s="4"/>
      <c r="R33" s="4"/>
      <c r="S33" s="4"/>
      <c r="T33" s="4"/>
      <c r="U33" s="4"/>
      <c r="V33" s="8">
        <f t="shared" si="12"/>
        <v>104.0316077</v>
      </c>
      <c r="W33" s="5" t="str">
        <f t="shared" si="7"/>
        <v>meta</v>
      </c>
      <c r="X33" s="67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</row>
    <row r="34" ht="19.5" customHeight="1">
      <c r="A34" s="56" t="s">
        <v>28</v>
      </c>
      <c r="B34" s="57">
        <v>15.0</v>
      </c>
      <c r="C34" s="89">
        <f t="shared" si="8"/>
        <v>204.5812246</v>
      </c>
      <c r="D34" s="89">
        <f t="shared" si="9"/>
        <v>22.73124718</v>
      </c>
      <c r="E34" s="59"/>
      <c r="F34" s="60" t="str">
        <f t="shared" si="1"/>
        <v>-</v>
      </c>
      <c r="G34" s="5" t="str">
        <f t="shared" si="2"/>
        <v>meta</v>
      </c>
      <c r="H34" s="94"/>
      <c r="I34" s="91" t="str">
        <f t="shared" si="10"/>
        <v/>
      </c>
      <c r="J34" s="91" t="str">
        <f t="shared" si="3"/>
        <v/>
      </c>
      <c r="K34" s="68" t="str">
        <f t="shared" si="11"/>
        <v/>
      </c>
      <c r="L34" s="64"/>
      <c r="M34" s="92">
        <f t="shared" si="4"/>
        <v>28.77373061</v>
      </c>
      <c r="N34" s="92">
        <f t="shared" si="5"/>
        <v>59.15369098</v>
      </c>
      <c r="O34" s="92">
        <f t="shared" si="6"/>
        <v>97.60933703</v>
      </c>
      <c r="P34" s="4"/>
      <c r="Q34" s="4"/>
      <c r="R34" s="4"/>
      <c r="S34" s="4"/>
      <c r="T34" s="4"/>
      <c r="U34" s="4"/>
      <c r="V34" s="8">
        <f t="shared" si="12"/>
        <v>117.0355586</v>
      </c>
      <c r="W34" s="5" t="str">
        <f t="shared" si="7"/>
        <v>meta</v>
      </c>
      <c r="X34" s="67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</row>
    <row r="35" ht="19.5" customHeight="1">
      <c r="A35" s="56" t="s">
        <v>28</v>
      </c>
      <c r="B35" s="57">
        <v>16.0</v>
      </c>
      <c r="C35" s="89">
        <f t="shared" si="8"/>
        <v>230.1538777</v>
      </c>
      <c r="D35" s="89">
        <f t="shared" si="9"/>
        <v>25.57265308</v>
      </c>
      <c r="E35" s="59"/>
      <c r="F35" s="60" t="str">
        <f t="shared" si="1"/>
        <v>-</v>
      </c>
      <c r="G35" s="5" t="str">
        <f t="shared" si="2"/>
        <v>meta</v>
      </c>
      <c r="H35" s="94"/>
      <c r="I35" s="91" t="str">
        <f t="shared" si="10"/>
        <v/>
      </c>
      <c r="J35" s="91" t="str">
        <f t="shared" si="3"/>
        <v/>
      </c>
      <c r="K35" s="68" t="str">
        <f t="shared" si="11"/>
        <v/>
      </c>
      <c r="L35" s="64"/>
      <c r="M35" s="92">
        <f t="shared" si="4"/>
        <v>32.37044693</v>
      </c>
      <c r="N35" s="92">
        <f t="shared" si="5"/>
        <v>66.54790236</v>
      </c>
      <c r="O35" s="92">
        <f t="shared" si="6"/>
        <v>109.8105042</v>
      </c>
      <c r="P35" s="4"/>
      <c r="Q35" s="4"/>
      <c r="R35" s="4"/>
      <c r="S35" s="4"/>
      <c r="T35" s="4"/>
      <c r="U35" s="4"/>
      <c r="V35" s="8">
        <f t="shared" si="12"/>
        <v>131.6650034</v>
      </c>
      <c r="W35" s="5" t="str">
        <f t="shared" si="7"/>
        <v>meta</v>
      </c>
      <c r="X35" s="67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</row>
    <row r="36" ht="19.5" customHeight="1">
      <c r="A36" s="56" t="s">
        <v>28</v>
      </c>
      <c r="B36" s="57">
        <v>17.0</v>
      </c>
      <c r="C36" s="89">
        <f t="shared" si="8"/>
        <v>258.9231124</v>
      </c>
      <c r="D36" s="89">
        <f t="shared" si="9"/>
        <v>28.76923471</v>
      </c>
      <c r="E36" s="59"/>
      <c r="F36" s="60" t="str">
        <f t="shared" si="1"/>
        <v>-</v>
      </c>
      <c r="G36" s="5" t="str">
        <f t="shared" si="2"/>
        <v>meta</v>
      </c>
      <c r="H36" s="94"/>
      <c r="I36" s="91" t="str">
        <f t="shared" si="10"/>
        <v/>
      </c>
      <c r="J36" s="91" t="str">
        <f t="shared" si="3"/>
        <v/>
      </c>
      <c r="K36" s="68" t="str">
        <f t="shared" si="11"/>
        <v/>
      </c>
      <c r="L36" s="64"/>
      <c r="M36" s="92">
        <f t="shared" si="4"/>
        <v>36.4167528</v>
      </c>
      <c r="N36" s="92">
        <f t="shared" si="5"/>
        <v>74.86639015</v>
      </c>
      <c r="O36" s="92">
        <f t="shared" si="6"/>
        <v>123.5368172</v>
      </c>
      <c r="P36" s="4"/>
      <c r="Q36" s="4"/>
      <c r="R36" s="4"/>
      <c r="S36" s="4"/>
      <c r="T36" s="4"/>
      <c r="U36" s="4"/>
      <c r="V36" s="8">
        <f t="shared" si="12"/>
        <v>148.1231289</v>
      </c>
      <c r="W36" s="5" t="str">
        <f t="shared" si="7"/>
        <v>meta</v>
      </c>
      <c r="X36" s="67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</row>
    <row r="37" ht="19.5" customHeight="1">
      <c r="A37" s="56" t="s">
        <v>28</v>
      </c>
      <c r="B37" s="57">
        <v>18.0</v>
      </c>
      <c r="C37" s="89">
        <f t="shared" si="8"/>
        <v>291.2885014</v>
      </c>
      <c r="D37" s="89">
        <f t="shared" si="9"/>
        <v>32.36538905</v>
      </c>
      <c r="E37" s="59"/>
      <c r="F37" s="60" t="str">
        <f t="shared" si="1"/>
        <v>-</v>
      </c>
      <c r="G37" s="5" t="str">
        <f t="shared" si="2"/>
        <v>meta</v>
      </c>
      <c r="H37" s="94"/>
      <c r="I37" s="91" t="str">
        <f t="shared" si="10"/>
        <v/>
      </c>
      <c r="J37" s="91" t="str">
        <f t="shared" si="3"/>
        <v/>
      </c>
      <c r="K37" s="68" t="str">
        <f t="shared" si="11"/>
        <v/>
      </c>
      <c r="L37" s="64"/>
      <c r="M37" s="92">
        <f t="shared" si="4"/>
        <v>40.9688469</v>
      </c>
      <c r="N37" s="92">
        <f t="shared" si="5"/>
        <v>84.22468892</v>
      </c>
      <c r="O37" s="92">
        <f t="shared" si="6"/>
        <v>138.9789193</v>
      </c>
      <c r="P37" s="4"/>
      <c r="Q37" s="4"/>
      <c r="R37" s="4"/>
      <c r="S37" s="4"/>
      <c r="T37" s="4"/>
      <c r="U37" s="4"/>
      <c r="V37" s="8">
        <f t="shared" si="12"/>
        <v>166.63852</v>
      </c>
      <c r="W37" s="5" t="str">
        <f t="shared" si="7"/>
        <v>meta</v>
      </c>
      <c r="X37" s="67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</row>
    <row r="38" ht="19.5" customHeight="1">
      <c r="A38" s="56" t="s">
        <v>28</v>
      </c>
      <c r="B38" s="57">
        <v>19.0</v>
      </c>
      <c r="C38" s="89">
        <f t="shared" si="8"/>
        <v>327.6995641</v>
      </c>
      <c r="D38" s="89">
        <f t="shared" si="9"/>
        <v>36.41106268</v>
      </c>
      <c r="E38" s="59"/>
      <c r="F38" s="60" t="str">
        <f t="shared" si="1"/>
        <v>-</v>
      </c>
      <c r="G38" s="5" t="str">
        <f t="shared" si="2"/>
        <v>meta</v>
      </c>
      <c r="H38" s="94"/>
      <c r="I38" s="91" t="str">
        <f t="shared" si="10"/>
        <v/>
      </c>
      <c r="J38" s="91" t="str">
        <f t="shared" si="3"/>
        <v/>
      </c>
      <c r="K38" s="68" t="str">
        <f t="shared" si="11"/>
        <v/>
      </c>
      <c r="L38" s="64"/>
      <c r="M38" s="92">
        <f t="shared" si="4"/>
        <v>46.08995276</v>
      </c>
      <c r="N38" s="92">
        <f t="shared" si="5"/>
        <v>94.75277503</v>
      </c>
      <c r="O38" s="92">
        <f t="shared" si="6"/>
        <v>156.3512842</v>
      </c>
      <c r="P38" s="4"/>
      <c r="Q38" s="4"/>
      <c r="R38" s="4"/>
      <c r="S38" s="4"/>
      <c r="T38" s="4"/>
      <c r="U38" s="4"/>
      <c r="V38" s="8">
        <f t="shared" si="12"/>
        <v>187.468335</v>
      </c>
      <c r="W38" s="5" t="str">
        <f t="shared" si="7"/>
        <v>meta</v>
      </c>
      <c r="X38" s="67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</row>
    <row r="39" ht="19.5" customHeight="1">
      <c r="A39" s="56" t="s">
        <v>28</v>
      </c>
      <c r="B39" s="57">
        <v>20.0</v>
      </c>
      <c r="C39" s="89">
        <f t="shared" si="8"/>
        <v>368.6620096</v>
      </c>
      <c r="D39" s="89">
        <f t="shared" si="9"/>
        <v>40.96244551</v>
      </c>
      <c r="E39" s="59"/>
      <c r="F39" s="60" t="str">
        <f t="shared" si="1"/>
        <v>-</v>
      </c>
      <c r="G39" s="5" t="str">
        <f t="shared" si="2"/>
        <v>meta</v>
      </c>
      <c r="H39" s="94"/>
      <c r="I39" s="91" t="str">
        <f t="shared" si="10"/>
        <v/>
      </c>
      <c r="J39" s="91" t="str">
        <f t="shared" si="3"/>
        <v/>
      </c>
      <c r="K39" s="68" t="str">
        <f t="shared" si="11"/>
        <v/>
      </c>
      <c r="L39" s="64"/>
      <c r="M39" s="92">
        <f t="shared" si="4"/>
        <v>51.85119685</v>
      </c>
      <c r="N39" s="92">
        <f t="shared" si="5"/>
        <v>106.5968719</v>
      </c>
      <c r="O39" s="92">
        <f t="shared" si="6"/>
        <v>175.8951948</v>
      </c>
      <c r="P39" s="4"/>
      <c r="Q39" s="4"/>
      <c r="R39" s="4"/>
      <c r="S39" s="4"/>
      <c r="T39" s="4"/>
      <c r="U39" s="4"/>
      <c r="V39" s="8">
        <f t="shared" si="12"/>
        <v>210.9018768</v>
      </c>
      <c r="W39" s="5" t="str">
        <f t="shared" si="7"/>
        <v>meta</v>
      </c>
      <c r="X39" s="67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</row>
    <row r="40" ht="19.5" customHeight="1">
      <c r="A40" s="56" t="s">
        <v>28</v>
      </c>
      <c r="B40" s="57">
        <v>21.0</v>
      </c>
      <c r="C40" s="89">
        <f t="shared" si="8"/>
        <v>414.7447608</v>
      </c>
      <c r="D40" s="89">
        <f t="shared" si="9"/>
        <v>46.0827512</v>
      </c>
      <c r="E40" s="59"/>
      <c r="F40" s="60" t="str">
        <f t="shared" si="1"/>
        <v>-</v>
      </c>
      <c r="G40" s="5" t="str">
        <f t="shared" si="2"/>
        <v>meta</v>
      </c>
      <c r="H40" s="94"/>
      <c r="I40" s="91" t="str">
        <f t="shared" si="10"/>
        <v/>
      </c>
      <c r="J40" s="91" t="str">
        <f t="shared" si="3"/>
        <v/>
      </c>
      <c r="K40" s="68" t="str">
        <f t="shared" si="11"/>
        <v/>
      </c>
      <c r="L40" s="64"/>
      <c r="M40" s="92">
        <f t="shared" si="4"/>
        <v>58.33259646</v>
      </c>
      <c r="N40" s="92">
        <f t="shared" si="5"/>
        <v>119.9214809</v>
      </c>
      <c r="O40" s="92">
        <f t="shared" si="6"/>
        <v>197.8820941</v>
      </c>
      <c r="P40" s="4"/>
      <c r="Q40" s="4"/>
      <c r="R40" s="4"/>
      <c r="S40" s="4"/>
      <c r="T40" s="4"/>
      <c r="U40" s="4"/>
      <c r="V40" s="8">
        <f t="shared" si="12"/>
        <v>237.2646115</v>
      </c>
      <c r="W40" s="5" t="str">
        <f t="shared" si="7"/>
        <v>meta</v>
      </c>
      <c r="X40" s="67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</row>
    <row r="41" ht="19.5" customHeight="1">
      <c r="A41" s="56" t="s">
        <v>28</v>
      </c>
      <c r="B41" s="57">
        <v>22.0</v>
      </c>
      <c r="C41" s="89">
        <f t="shared" si="8"/>
        <v>466.5878559</v>
      </c>
      <c r="D41" s="89">
        <f t="shared" si="9"/>
        <v>51.8430951</v>
      </c>
      <c r="E41" s="59"/>
      <c r="F41" s="60" t="str">
        <f t="shared" si="1"/>
        <v>-</v>
      </c>
      <c r="G41" s="5" t="str">
        <f t="shared" si="2"/>
        <v>meta</v>
      </c>
      <c r="H41" s="94"/>
      <c r="I41" s="91" t="str">
        <f t="shared" si="10"/>
        <v/>
      </c>
      <c r="J41" s="91" t="str">
        <f t="shared" si="3"/>
        <v/>
      </c>
      <c r="K41" s="68" t="str">
        <f t="shared" si="11"/>
        <v/>
      </c>
      <c r="L41" s="64"/>
      <c r="M41" s="92">
        <f t="shared" si="4"/>
        <v>65.62417102</v>
      </c>
      <c r="N41" s="92">
        <f t="shared" si="5"/>
        <v>134.911666</v>
      </c>
      <c r="O41" s="92">
        <f t="shared" si="6"/>
        <v>222.6173559</v>
      </c>
      <c r="P41" s="4"/>
      <c r="Q41" s="4"/>
      <c r="R41" s="4"/>
      <c r="S41" s="4"/>
      <c r="T41" s="4"/>
      <c r="U41" s="4"/>
      <c r="V41" s="8">
        <f t="shared" si="12"/>
        <v>266.9226879</v>
      </c>
      <c r="W41" s="5" t="str">
        <f t="shared" si="7"/>
        <v>meta</v>
      </c>
      <c r="X41" s="67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</row>
    <row r="42" ht="19.5" customHeight="1">
      <c r="A42" s="56" t="s">
        <v>28</v>
      </c>
      <c r="B42" s="57">
        <v>23.0</v>
      </c>
      <c r="C42" s="89">
        <f t="shared" si="8"/>
        <v>524.9113379</v>
      </c>
      <c r="D42" s="89">
        <f t="shared" si="9"/>
        <v>58.32348199</v>
      </c>
      <c r="E42" s="59"/>
      <c r="F42" s="60" t="str">
        <f t="shared" si="1"/>
        <v>-</v>
      </c>
      <c r="G42" s="5" t="str">
        <f t="shared" si="2"/>
        <v>meta</v>
      </c>
      <c r="H42" s="94"/>
      <c r="I42" s="91" t="str">
        <f t="shared" si="10"/>
        <v/>
      </c>
      <c r="J42" s="91" t="str">
        <f t="shared" si="3"/>
        <v/>
      </c>
      <c r="K42" s="68" t="str">
        <f t="shared" si="11"/>
        <v/>
      </c>
      <c r="L42" s="64"/>
      <c r="M42" s="92">
        <f t="shared" si="4"/>
        <v>73.8271924</v>
      </c>
      <c r="N42" s="92">
        <f t="shared" si="5"/>
        <v>151.7756243</v>
      </c>
      <c r="O42" s="92">
        <f t="shared" si="6"/>
        <v>250.4445254</v>
      </c>
      <c r="P42" s="4"/>
      <c r="Q42" s="4"/>
      <c r="R42" s="4"/>
      <c r="S42" s="4"/>
      <c r="T42" s="4"/>
      <c r="U42" s="4"/>
      <c r="V42" s="8">
        <f t="shared" si="12"/>
        <v>300.2880239</v>
      </c>
      <c r="W42" s="5" t="str">
        <f t="shared" si="7"/>
        <v>meta</v>
      </c>
      <c r="X42" s="67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</row>
    <row r="43" ht="19.5" customHeight="1">
      <c r="A43" s="56" t="s">
        <v>28</v>
      </c>
      <c r="B43" s="57">
        <v>24.0</v>
      </c>
      <c r="C43" s="89">
        <f t="shared" si="8"/>
        <v>590.5252552</v>
      </c>
      <c r="D43" s="89">
        <f t="shared" si="9"/>
        <v>65.61391724</v>
      </c>
      <c r="E43" s="59"/>
      <c r="F43" s="60" t="str">
        <f t="shared" si="1"/>
        <v>-</v>
      </c>
      <c r="G43" s="5" t="str">
        <f t="shared" si="2"/>
        <v>meta</v>
      </c>
      <c r="H43" s="94"/>
      <c r="I43" s="91" t="str">
        <f t="shared" si="10"/>
        <v/>
      </c>
      <c r="J43" s="91" t="str">
        <f t="shared" si="3"/>
        <v/>
      </c>
      <c r="K43" s="68" t="str">
        <f t="shared" si="11"/>
        <v/>
      </c>
      <c r="L43" s="64"/>
      <c r="M43" s="92">
        <f t="shared" si="4"/>
        <v>83.05559145</v>
      </c>
      <c r="N43" s="92">
        <f t="shared" si="5"/>
        <v>170.7475773</v>
      </c>
      <c r="O43" s="92">
        <f t="shared" si="6"/>
        <v>281.750091</v>
      </c>
      <c r="P43" s="4"/>
      <c r="Q43" s="4"/>
      <c r="R43" s="4"/>
      <c r="S43" s="4"/>
      <c r="T43" s="4"/>
      <c r="U43" s="4"/>
      <c r="V43" s="8">
        <f t="shared" si="12"/>
        <v>337.8240269</v>
      </c>
      <c r="W43" s="5" t="str">
        <f t="shared" si="7"/>
        <v>meta</v>
      </c>
      <c r="X43" s="67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</row>
    <row r="44" ht="19.5" customHeight="1">
      <c r="A44" s="56" t="s">
        <v>28</v>
      </c>
      <c r="B44" s="57">
        <v>25.0</v>
      </c>
      <c r="C44" s="89">
        <f t="shared" si="8"/>
        <v>664.3409121</v>
      </c>
      <c r="D44" s="89">
        <f t="shared" si="9"/>
        <v>73.8156569</v>
      </c>
      <c r="E44" s="59"/>
      <c r="F44" s="60" t="str">
        <f t="shared" si="1"/>
        <v>-</v>
      </c>
      <c r="G44" s="5" t="str">
        <f t="shared" si="2"/>
        <v>meta</v>
      </c>
      <c r="H44" s="94"/>
      <c r="I44" s="91" t="str">
        <f t="shared" si="10"/>
        <v/>
      </c>
      <c r="J44" s="91" t="str">
        <f t="shared" si="3"/>
        <v/>
      </c>
      <c r="K44" s="68" t="str">
        <f t="shared" si="11"/>
        <v/>
      </c>
      <c r="L44" s="64"/>
      <c r="M44" s="92">
        <f t="shared" si="4"/>
        <v>93.43754038</v>
      </c>
      <c r="N44" s="92">
        <f t="shared" si="5"/>
        <v>192.0910245</v>
      </c>
      <c r="O44" s="92">
        <f t="shared" si="6"/>
        <v>316.9688524</v>
      </c>
      <c r="P44" s="4"/>
      <c r="Q44" s="4"/>
      <c r="R44" s="4"/>
      <c r="S44" s="4"/>
      <c r="T44" s="4"/>
      <c r="U44" s="4"/>
      <c r="V44" s="8">
        <f t="shared" si="12"/>
        <v>380.0520302</v>
      </c>
      <c r="W44" s="5" t="str">
        <f t="shared" si="7"/>
        <v>meta</v>
      </c>
      <c r="X44" s="67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</row>
    <row r="45" ht="19.5" customHeight="1">
      <c r="A45" s="56" t="s">
        <v>28</v>
      </c>
      <c r="B45" s="57">
        <v>26.0</v>
      </c>
      <c r="C45" s="89">
        <f t="shared" si="8"/>
        <v>747.3835261</v>
      </c>
      <c r="D45" s="89">
        <f t="shared" si="9"/>
        <v>83.04261401</v>
      </c>
      <c r="E45" s="59"/>
      <c r="F45" s="60" t="str">
        <f t="shared" si="1"/>
        <v>-</v>
      </c>
      <c r="G45" s="5" t="str">
        <f t="shared" si="2"/>
        <v>meta</v>
      </c>
      <c r="H45" s="94"/>
      <c r="I45" s="91" t="str">
        <f t="shared" si="10"/>
        <v/>
      </c>
      <c r="J45" s="91" t="str">
        <f t="shared" si="3"/>
        <v/>
      </c>
      <c r="K45" s="68" t="str">
        <f t="shared" si="11"/>
        <v/>
      </c>
      <c r="L45" s="64"/>
      <c r="M45" s="92">
        <f t="shared" si="4"/>
        <v>105.1172329</v>
      </c>
      <c r="N45" s="92">
        <f t="shared" si="5"/>
        <v>216.1024025</v>
      </c>
      <c r="O45" s="92">
        <f t="shared" si="6"/>
        <v>356.589959</v>
      </c>
      <c r="P45" s="4"/>
      <c r="Q45" s="4"/>
      <c r="R45" s="4"/>
      <c r="S45" s="4"/>
      <c r="T45" s="4"/>
      <c r="U45" s="4"/>
      <c r="V45" s="8">
        <f t="shared" si="12"/>
        <v>427.558534</v>
      </c>
      <c r="W45" s="5" t="str">
        <f t="shared" si="7"/>
        <v>meta</v>
      </c>
      <c r="X45" s="67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</row>
    <row r="46" ht="19.5" customHeight="1">
      <c r="A46" s="56" t="s">
        <v>28</v>
      </c>
      <c r="B46" s="57">
        <v>27.0</v>
      </c>
      <c r="C46" s="89">
        <f t="shared" si="8"/>
        <v>840.8064668</v>
      </c>
      <c r="D46" s="89">
        <f t="shared" si="9"/>
        <v>93.42294076</v>
      </c>
      <c r="E46" s="59"/>
      <c r="F46" s="60" t="str">
        <f t="shared" si="1"/>
        <v>-</v>
      </c>
      <c r="G46" s="5" t="str">
        <f t="shared" si="2"/>
        <v>meta</v>
      </c>
      <c r="H46" s="94"/>
      <c r="I46" s="91" t="str">
        <f t="shared" si="10"/>
        <v/>
      </c>
      <c r="J46" s="91" t="str">
        <f t="shared" si="3"/>
        <v/>
      </c>
      <c r="K46" s="68" t="str">
        <f t="shared" si="11"/>
        <v/>
      </c>
      <c r="L46" s="64"/>
      <c r="M46" s="92">
        <f t="shared" si="4"/>
        <v>118.256887</v>
      </c>
      <c r="N46" s="92">
        <f t="shared" si="5"/>
        <v>243.1152028</v>
      </c>
      <c r="O46" s="92">
        <f t="shared" si="6"/>
        <v>401.1637038</v>
      </c>
      <c r="P46" s="4"/>
      <c r="Q46" s="4"/>
      <c r="R46" s="4"/>
      <c r="S46" s="4"/>
      <c r="T46" s="4"/>
      <c r="U46" s="4"/>
      <c r="V46" s="8">
        <f t="shared" si="12"/>
        <v>481.0033507</v>
      </c>
      <c r="W46" s="5" t="str">
        <f t="shared" si="7"/>
        <v>meta</v>
      </c>
      <c r="X46" s="67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</row>
    <row r="47" ht="19.5" customHeight="1">
      <c r="A47" s="56" t="s">
        <v>28</v>
      </c>
      <c r="B47" s="57">
        <v>28.0</v>
      </c>
      <c r="C47" s="89">
        <f t="shared" si="8"/>
        <v>945.9072752</v>
      </c>
      <c r="D47" s="89">
        <f t="shared" si="9"/>
        <v>105.1008084</v>
      </c>
      <c r="E47" s="59"/>
      <c r="F47" s="60" t="str">
        <f t="shared" si="1"/>
        <v>-</v>
      </c>
      <c r="G47" s="5" t="str">
        <f t="shared" si="2"/>
        <v>meta</v>
      </c>
      <c r="H47" s="94"/>
      <c r="I47" s="91" t="str">
        <f t="shared" si="10"/>
        <v/>
      </c>
      <c r="J47" s="91" t="str">
        <f t="shared" si="3"/>
        <v/>
      </c>
      <c r="K47" s="68" t="str">
        <f t="shared" si="11"/>
        <v/>
      </c>
      <c r="L47" s="64"/>
      <c r="M47" s="92">
        <f t="shared" si="4"/>
        <v>133.0389979</v>
      </c>
      <c r="N47" s="92">
        <f t="shared" si="5"/>
        <v>273.5046032</v>
      </c>
      <c r="O47" s="92">
        <f t="shared" si="6"/>
        <v>451.3091668</v>
      </c>
      <c r="P47" s="4"/>
      <c r="Q47" s="4"/>
      <c r="R47" s="4"/>
      <c r="S47" s="4"/>
      <c r="T47" s="4"/>
      <c r="U47" s="4"/>
      <c r="V47" s="8">
        <f t="shared" si="12"/>
        <v>541.1287696</v>
      </c>
      <c r="W47" s="5" t="str">
        <f t="shared" si="7"/>
        <v>meta</v>
      </c>
      <c r="X47" s="67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</row>
    <row r="48" ht="19.5" customHeight="1">
      <c r="A48" s="56" t="s">
        <v>28</v>
      </c>
      <c r="B48" s="57">
        <v>29.0</v>
      </c>
      <c r="C48" s="89">
        <f t="shared" si="8"/>
        <v>1064.145685</v>
      </c>
      <c r="D48" s="89">
        <f t="shared" si="9"/>
        <v>118.2384094</v>
      </c>
      <c r="E48" s="59"/>
      <c r="F48" s="60" t="str">
        <f t="shared" si="1"/>
        <v>-</v>
      </c>
      <c r="G48" s="5" t="str">
        <f t="shared" si="2"/>
        <v>meta</v>
      </c>
      <c r="H48" s="94"/>
      <c r="I48" s="91" t="str">
        <f t="shared" si="10"/>
        <v/>
      </c>
      <c r="J48" s="91" t="str">
        <f t="shared" si="3"/>
        <v/>
      </c>
      <c r="K48" s="68" t="str">
        <f t="shared" si="11"/>
        <v/>
      </c>
      <c r="L48" s="64"/>
      <c r="M48" s="92">
        <f t="shared" si="4"/>
        <v>149.6688727</v>
      </c>
      <c r="N48" s="92">
        <f t="shared" si="5"/>
        <v>307.6926786</v>
      </c>
      <c r="O48" s="92">
        <f t="shared" si="6"/>
        <v>507.7228127</v>
      </c>
      <c r="P48" s="4"/>
      <c r="Q48" s="4"/>
      <c r="R48" s="4"/>
      <c r="S48" s="4"/>
      <c r="T48" s="4"/>
      <c r="U48" s="4"/>
      <c r="V48" s="8">
        <f t="shared" si="12"/>
        <v>608.7698658</v>
      </c>
      <c r="W48" s="5" t="str">
        <f t="shared" si="7"/>
        <v>meta</v>
      </c>
      <c r="X48" s="67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</row>
    <row r="49" ht="19.5" customHeight="1">
      <c r="A49" s="56" t="s">
        <v>28</v>
      </c>
      <c r="B49" s="57">
        <v>30.0</v>
      </c>
      <c r="C49" s="89">
        <f t="shared" si="8"/>
        <v>1197.163895</v>
      </c>
      <c r="D49" s="89">
        <f t="shared" si="9"/>
        <v>133.0182106</v>
      </c>
      <c r="E49" s="59"/>
      <c r="F49" s="60" t="str">
        <f t="shared" si="1"/>
        <v>-</v>
      </c>
      <c r="G49" s="5" t="str">
        <f t="shared" si="2"/>
        <v>meta</v>
      </c>
      <c r="H49" s="94"/>
      <c r="I49" s="91" t="str">
        <f t="shared" si="10"/>
        <v/>
      </c>
      <c r="J49" s="91" t="str">
        <f t="shared" si="3"/>
        <v/>
      </c>
      <c r="K49" s="68" t="str">
        <f t="shared" si="11"/>
        <v/>
      </c>
      <c r="L49" s="64"/>
      <c r="M49" s="92">
        <f t="shared" si="4"/>
        <v>168.3774817</v>
      </c>
      <c r="N49" s="92">
        <f t="shared" si="5"/>
        <v>346.1542634</v>
      </c>
      <c r="O49" s="92">
        <f t="shared" si="6"/>
        <v>571.1881643</v>
      </c>
      <c r="P49" s="4"/>
      <c r="Q49" s="4"/>
      <c r="R49" s="4"/>
      <c r="S49" s="4"/>
      <c r="T49" s="4"/>
      <c r="U49" s="4"/>
      <c r="V49" s="8">
        <f t="shared" si="12"/>
        <v>684.866099</v>
      </c>
      <c r="W49" s="5" t="str">
        <f t="shared" si="7"/>
        <v>meta</v>
      </c>
      <c r="X49" s="67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</row>
    <row r="50" ht="19.5" customHeight="1">
      <c r="A50" s="56" t="s">
        <v>28</v>
      </c>
      <c r="B50" s="57">
        <v>31.0</v>
      </c>
      <c r="C50" s="89">
        <f t="shared" si="8"/>
        <v>1346.809382</v>
      </c>
      <c r="D50" s="89">
        <f t="shared" si="9"/>
        <v>149.6454869</v>
      </c>
      <c r="E50" s="59"/>
      <c r="F50" s="60" t="str">
        <f t="shared" si="1"/>
        <v>-</v>
      </c>
      <c r="G50" s="5" t="str">
        <f t="shared" si="2"/>
        <v>meta</v>
      </c>
      <c r="H50" s="94"/>
      <c r="I50" s="91" t="str">
        <f t="shared" si="10"/>
        <v/>
      </c>
      <c r="J50" s="91" t="str">
        <f t="shared" si="3"/>
        <v/>
      </c>
      <c r="K50" s="68" t="str">
        <f t="shared" si="11"/>
        <v/>
      </c>
      <c r="L50" s="64"/>
      <c r="M50" s="92">
        <f t="shared" si="4"/>
        <v>189.424667</v>
      </c>
      <c r="N50" s="92">
        <f t="shared" si="5"/>
        <v>389.4235463</v>
      </c>
      <c r="O50" s="92">
        <f t="shared" si="6"/>
        <v>642.5866848</v>
      </c>
      <c r="P50" s="4"/>
      <c r="Q50" s="4"/>
      <c r="R50" s="4"/>
      <c r="S50" s="4"/>
      <c r="T50" s="4"/>
      <c r="U50" s="4"/>
      <c r="V50" s="8">
        <f t="shared" si="12"/>
        <v>770.4743614</v>
      </c>
      <c r="W50" s="5" t="str">
        <f t="shared" si="7"/>
        <v>meta</v>
      </c>
      <c r="X50" s="67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</row>
    <row r="51" ht="19.5" customHeight="1">
      <c r="A51" s="56" t="s">
        <v>28</v>
      </c>
      <c r="B51" s="57">
        <v>32.0</v>
      </c>
      <c r="C51" s="89">
        <f t="shared" si="8"/>
        <v>1515.160555</v>
      </c>
      <c r="D51" s="89">
        <f t="shared" si="9"/>
        <v>168.3511728</v>
      </c>
      <c r="E51" s="59"/>
      <c r="F51" s="60" t="str">
        <f t="shared" si="1"/>
        <v>-</v>
      </c>
      <c r="G51" s="5" t="str">
        <f t="shared" si="2"/>
        <v>meta</v>
      </c>
      <c r="H51" s="94"/>
      <c r="I51" s="91" t="str">
        <f t="shared" si="10"/>
        <v/>
      </c>
      <c r="J51" s="91" t="str">
        <f t="shared" si="3"/>
        <v/>
      </c>
      <c r="K51" s="68" t="str">
        <f t="shared" si="11"/>
        <v/>
      </c>
      <c r="L51" s="64"/>
      <c r="M51" s="92">
        <f t="shared" si="4"/>
        <v>213.1027503</v>
      </c>
      <c r="N51" s="92">
        <f t="shared" si="5"/>
        <v>438.1014896</v>
      </c>
      <c r="O51" s="92">
        <f t="shared" si="6"/>
        <v>722.9100204</v>
      </c>
      <c r="P51" s="4"/>
      <c r="Q51" s="4"/>
      <c r="R51" s="4"/>
      <c r="S51" s="4"/>
      <c r="T51" s="4"/>
      <c r="U51" s="4"/>
      <c r="V51" s="8">
        <f t="shared" si="12"/>
        <v>866.7836565</v>
      </c>
      <c r="W51" s="5" t="str">
        <f t="shared" si="7"/>
        <v>meta</v>
      </c>
      <c r="X51" s="67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</row>
    <row r="52" ht="19.5" customHeight="1">
      <c r="A52" s="56" t="s">
        <v>28</v>
      </c>
      <c r="B52" s="57">
        <v>33.0</v>
      </c>
      <c r="C52" s="89">
        <f t="shared" si="8"/>
        <v>1704.555624</v>
      </c>
      <c r="D52" s="89">
        <f t="shared" si="9"/>
        <v>189.3950694</v>
      </c>
      <c r="E52" s="59"/>
      <c r="F52" s="60" t="str">
        <f t="shared" si="1"/>
        <v>-</v>
      </c>
      <c r="G52" s="5" t="str">
        <f t="shared" si="2"/>
        <v>meta</v>
      </c>
      <c r="H52" s="94"/>
      <c r="I52" s="91" t="str">
        <f t="shared" si="10"/>
        <v/>
      </c>
      <c r="J52" s="91" t="str">
        <f t="shared" si="3"/>
        <v/>
      </c>
      <c r="K52" s="68" t="str">
        <f t="shared" si="11"/>
        <v/>
      </c>
      <c r="L52" s="64"/>
      <c r="M52" s="92">
        <f t="shared" si="4"/>
        <v>239.7405941</v>
      </c>
      <c r="N52" s="92">
        <f t="shared" si="5"/>
        <v>492.8641758</v>
      </c>
      <c r="O52" s="92">
        <f t="shared" si="6"/>
        <v>813.2737729</v>
      </c>
      <c r="P52" s="4"/>
      <c r="Q52" s="4"/>
      <c r="R52" s="4"/>
      <c r="S52" s="4"/>
      <c r="T52" s="4"/>
      <c r="U52" s="4"/>
      <c r="V52" s="8">
        <f t="shared" si="12"/>
        <v>975.1316136</v>
      </c>
      <c r="W52" s="5" t="str">
        <f t="shared" si="7"/>
        <v>meta</v>
      </c>
      <c r="X52" s="67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</row>
    <row r="53" ht="19.5" customHeight="1">
      <c r="A53" s="56" t="s">
        <v>28</v>
      </c>
      <c r="B53" s="57">
        <v>34.0</v>
      </c>
      <c r="C53" s="89">
        <f t="shared" si="8"/>
        <v>1917.625077</v>
      </c>
      <c r="D53" s="89">
        <f t="shared" si="9"/>
        <v>213.069453</v>
      </c>
      <c r="E53" s="59"/>
      <c r="F53" s="60" t="str">
        <f t="shared" si="1"/>
        <v>-</v>
      </c>
      <c r="G53" s="5" t="str">
        <f t="shared" si="2"/>
        <v>meta</v>
      </c>
      <c r="H53" s="94"/>
      <c r="I53" s="91" t="str">
        <f t="shared" si="10"/>
        <v/>
      </c>
      <c r="J53" s="91" t="str">
        <f t="shared" si="3"/>
        <v/>
      </c>
      <c r="K53" s="68" t="str">
        <f t="shared" si="11"/>
        <v/>
      </c>
      <c r="L53" s="64"/>
      <c r="M53" s="92">
        <f t="shared" si="4"/>
        <v>269.7081684</v>
      </c>
      <c r="N53" s="92">
        <f t="shared" si="5"/>
        <v>554.4721978</v>
      </c>
      <c r="O53" s="92">
        <f t="shared" si="6"/>
        <v>914.9329946</v>
      </c>
      <c r="P53" s="4"/>
      <c r="Q53" s="4"/>
      <c r="R53" s="4"/>
      <c r="S53" s="4"/>
      <c r="T53" s="4"/>
      <c r="U53" s="4"/>
      <c r="V53" s="8">
        <f t="shared" si="12"/>
        <v>1097.023065</v>
      </c>
      <c r="W53" s="5" t="str">
        <f t="shared" si="7"/>
        <v>meta</v>
      </c>
      <c r="X53" s="67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</row>
    <row r="54" ht="19.5" customHeight="1">
      <c r="A54" s="56" t="s">
        <v>28</v>
      </c>
      <c r="B54" s="57">
        <v>35.0</v>
      </c>
      <c r="C54" s="89">
        <f t="shared" si="8"/>
        <v>2157.328212</v>
      </c>
      <c r="D54" s="89">
        <f t="shared" si="9"/>
        <v>239.7031347</v>
      </c>
      <c r="E54" s="59"/>
      <c r="F54" s="60" t="str">
        <f t="shared" si="1"/>
        <v>-</v>
      </c>
      <c r="G54" s="5" t="str">
        <f t="shared" si="2"/>
        <v>meta</v>
      </c>
      <c r="H54" s="94"/>
      <c r="I54" s="91" t="str">
        <f t="shared" si="10"/>
        <v/>
      </c>
      <c r="J54" s="91" t="str">
        <f t="shared" si="3"/>
        <v/>
      </c>
      <c r="K54" s="68" t="str">
        <f t="shared" si="11"/>
        <v/>
      </c>
      <c r="L54" s="64"/>
      <c r="M54" s="92">
        <f t="shared" si="4"/>
        <v>303.4216894</v>
      </c>
      <c r="N54" s="92">
        <f t="shared" si="5"/>
        <v>623.7812225</v>
      </c>
      <c r="O54" s="92">
        <f t="shared" si="6"/>
        <v>1029.299619</v>
      </c>
      <c r="P54" s="4"/>
      <c r="Q54" s="4"/>
      <c r="R54" s="4"/>
      <c r="S54" s="4"/>
      <c r="T54" s="4"/>
      <c r="U54" s="4"/>
      <c r="V54" s="8">
        <f t="shared" si="12"/>
        <v>1234.150948</v>
      </c>
      <c r="W54" s="5" t="str">
        <f t="shared" si="7"/>
        <v>meta</v>
      </c>
      <c r="X54" s="67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</row>
    <row r="55" ht="19.5" customHeight="1">
      <c r="A55" s="56" t="s">
        <v>28</v>
      </c>
      <c r="B55" s="57">
        <v>36.0</v>
      </c>
      <c r="C55" s="89">
        <f t="shared" si="8"/>
        <v>2426.994238</v>
      </c>
      <c r="D55" s="89">
        <f t="shared" si="9"/>
        <v>269.6660265</v>
      </c>
      <c r="E55" s="59"/>
      <c r="F55" s="60" t="str">
        <f t="shared" si="1"/>
        <v>-</v>
      </c>
      <c r="G55" s="5" t="str">
        <f t="shared" si="2"/>
        <v>meta</v>
      </c>
      <c r="H55" s="94"/>
      <c r="I55" s="91" t="str">
        <f t="shared" si="10"/>
        <v/>
      </c>
      <c r="J55" s="91" t="str">
        <f t="shared" si="3"/>
        <v/>
      </c>
      <c r="K55" s="68" t="str">
        <f t="shared" si="11"/>
        <v/>
      </c>
      <c r="L55" s="64"/>
      <c r="M55" s="92">
        <f t="shared" si="4"/>
        <v>341.3494006</v>
      </c>
      <c r="N55" s="92">
        <f t="shared" si="5"/>
        <v>701.7538754</v>
      </c>
      <c r="O55" s="92">
        <f t="shared" si="6"/>
        <v>1157.962071</v>
      </c>
      <c r="P55" s="4"/>
      <c r="Q55" s="4"/>
      <c r="R55" s="4"/>
      <c r="S55" s="4"/>
      <c r="T55" s="4"/>
      <c r="U55" s="4"/>
      <c r="V55" s="8">
        <f t="shared" si="12"/>
        <v>1388.419817</v>
      </c>
      <c r="W55" s="5" t="str">
        <f t="shared" si="7"/>
        <v>meta</v>
      </c>
      <c r="X55" s="67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</row>
    <row r="56" ht="19.5" customHeight="1">
      <c r="A56" s="56" t="s">
        <v>28</v>
      </c>
      <c r="B56" s="57">
        <v>37.0</v>
      </c>
      <c r="C56" s="89">
        <f t="shared" si="8"/>
        <v>2730.368518</v>
      </c>
      <c r="D56" s="89">
        <f t="shared" si="9"/>
        <v>303.3742798</v>
      </c>
      <c r="E56" s="59"/>
      <c r="F56" s="60" t="str">
        <f t="shared" si="1"/>
        <v>-</v>
      </c>
      <c r="G56" s="5" t="str">
        <f t="shared" si="2"/>
        <v>meta</v>
      </c>
      <c r="H56" s="94"/>
      <c r="I56" s="91" t="str">
        <f t="shared" si="10"/>
        <v/>
      </c>
      <c r="J56" s="91" t="str">
        <f t="shared" si="3"/>
        <v/>
      </c>
      <c r="K56" s="68" t="str">
        <f t="shared" si="11"/>
        <v/>
      </c>
      <c r="L56" s="64"/>
      <c r="M56" s="92">
        <f t="shared" si="4"/>
        <v>384.0180757</v>
      </c>
      <c r="N56" s="92">
        <f t="shared" si="5"/>
        <v>789.4731098</v>
      </c>
      <c r="O56" s="92">
        <f t="shared" si="6"/>
        <v>1302.70733</v>
      </c>
      <c r="P56" s="4"/>
      <c r="Q56" s="4"/>
      <c r="R56" s="4"/>
      <c r="S56" s="4"/>
      <c r="T56" s="4"/>
      <c r="U56" s="4"/>
      <c r="V56" s="8">
        <f t="shared" si="12"/>
        <v>1561.972294</v>
      </c>
      <c r="W56" s="5" t="str">
        <f t="shared" si="7"/>
        <v>meta</v>
      </c>
      <c r="X56" s="67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</row>
    <row r="57" ht="19.5" customHeight="1">
      <c r="A57" s="56" t="s">
        <v>28</v>
      </c>
      <c r="B57" s="57">
        <v>38.0</v>
      </c>
      <c r="C57" s="89">
        <f t="shared" si="8"/>
        <v>3071.664583</v>
      </c>
      <c r="D57" s="89">
        <f t="shared" si="9"/>
        <v>341.2960648</v>
      </c>
      <c r="E57" s="59"/>
      <c r="F57" s="60" t="str">
        <f t="shared" si="1"/>
        <v>-</v>
      </c>
      <c r="G57" s="5" t="str">
        <f t="shared" si="2"/>
        <v>meta</v>
      </c>
      <c r="H57" s="94"/>
      <c r="I57" s="91" t="str">
        <f t="shared" si="10"/>
        <v/>
      </c>
      <c r="J57" s="91" t="str">
        <f t="shared" si="3"/>
        <v/>
      </c>
      <c r="K57" s="68" t="str">
        <f t="shared" si="11"/>
        <v/>
      </c>
      <c r="L57" s="64"/>
      <c r="M57" s="92">
        <f t="shared" si="4"/>
        <v>432.0203351</v>
      </c>
      <c r="N57" s="92">
        <f t="shared" si="5"/>
        <v>888.1572485</v>
      </c>
      <c r="O57" s="92">
        <f t="shared" si="6"/>
        <v>1465.545746</v>
      </c>
      <c r="P57" s="4"/>
      <c r="Q57" s="4"/>
      <c r="R57" s="4"/>
      <c r="S57" s="4"/>
      <c r="T57" s="4"/>
      <c r="U57" s="4"/>
      <c r="V57" s="8">
        <f t="shared" si="12"/>
        <v>1757.218831</v>
      </c>
      <c r="W57" s="5" t="str">
        <f t="shared" si="7"/>
        <v>meta</v>
      </c>
      <c r="X57" s="67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</row>
    <row r="58" ht="19.5" customHeight="1">
      <c r="A58" s="56" t="s">
        <v>28</v>
      </c>
      <c r="B58" s="57">
        <v>39.0</v>
      </c>
      <c r="C58" s="89">
        <f t="shared" si="8"/>
        <v>3455.622656</v>
      </c>
      <c r="D58" s="89">
        <f t="shared" si="9"/>
        <v>383.9580729</v>
      </c>
      <c r="E58" s="59"/>
      <c r="F58" s="60" t="str">
        <f t="shared" si="1"/>
        <v>-</v>
      </c>
      <c r="G58" s="5" t="str">
        <f t="shared" si="2"/>
        <v>meta</v>
      </c>
      <c r="H58" s="94"/>
      <c r="I58" s="91" t="str">
        <f t="shared" si="10"/>
        <v/>
      </c>
      <c r="J58" s="91" t="str">
        <f t="shared" si="3"/>
        <v/>
      </c>
      <c r="K58" s="68" t="str">
        <f t="shared" si="11"/>
        <v/>
      </c>
      <c r="L58" s="64"/>
      <c r="M58" s="92">
        <f t="shared" si="4"/>
        <v>486.022877</v>
      </c>
      <c r="N58" s="92">
        <f t="shared" si="5"/>
        <v>999.1769046</v>
      </c>
      <c r="O58" s="92">
        <f t="shared" si="6"/>
        <v>1648.738965</v>
      </c>
      <c r="P58" s="4"/>
      <c r="Q58" s="4"/>
      <c r="R58" s="4"/>
      <c r="S58" s="4"/>
      <c r="T58" s="4"/>
      <c r="U58" s="4"/>
      <c r="V58" s="8">
        <f t="shared" si="12"/>
        <v>1976.871185</v>
      </c>
      <c r="W58" s="5" t="str">
        <f t="shared" si="7"/>
        <v>meta</v>
      </c>
      <c r="X58" s="67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</row>
    <row r="59" ht="19.5" customHeight="1">
      <c r="A59" s="56" t="s">
        <v>28</v>
      </c>
      <c r="B59" s="57">
        <v>40.0</v>
      </c>
      <c r="C59" s="89">
        <f t="shared" si="8"/>
        <v>3887.575488</v>
      </c>
      <c r="D59" s="89">
        <f t="shared" si="9"/>
        <v>431.952832</v>
      </c>
      <c r="E59" s="59"/>
      <c r="F59" s="60" t="str">
        <f t="shared" si="1"/>
        <v>-</v>
      </c>
      <c r="G59" s="5" t="str">
        <f t="shared" si="2"/>
        <v>meta</v>
      </c>
      <c r="H59" s="94"/>
      <c r="I59" s="91" t="str">
        <f t="shared" si="10"/>
        <v/>
      </c>
      <c r="J59" s="91" t="str">
        <f t="shared" si="3"/>
        <v/>
      </c>
      <c r="K59" s="68" t="str">
        <f t="shared" si="11"/>
        <v/>
      </c>
      <c r="L59" s="64"/>
      <c r="M59" s="92">
        <f t="shared" si="4"/>
        <v>546.7757367</v>
      </c>
      <c r="N59" s="92">
        <f t="shared" si="5"/>
        <v>1124.074018</v>
      </c>
      <c r="O59" s="92">
        <f t="shared" si="6"/>
        <v>1854.831335</v>
      </c>
      <c r="P59" s="4"/>
      <c r="Q59" s="4"/>
      <c r="R59" s="4"/>
      <c r="S59" s="4"/>
      <c r="T59" s="4"/>
      <c r="U59" s="4"/>
      <c r="V59" s="8">
        <f t="shared" si="12"/>
        <v>2223.980083</v>
      </c>
      <c r="W59" s="5" t="str">
        <f t="shared" si="7"/>
        <v>meta</v>
      </c>
      <c r="X59" s="67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</row>
    <row r="60" ht="19.5" customHeight="1">
      <c r="A60" s="56" t="s">
        <v>28</v>
      </c>
      <c r="B60" s="57">
        <v>41.0</v>
      </c>
      <c r="C60" s="89">
        <f t="shared" si="8"/>
        <v>4373.522424</v>
      </c>
      <c r="D60" s="89">
        <f t="shared" si="9"/>
        <v>485.946936</v>
      </c>
      <c r="E60" s="59"/>
      <c r="F60" s="60" t="str">
        <f t="shared" si="1"/>
        <v>-</v>
      </c>
      <c r="G60" s="5" t="str">
        <f t="shared" si="2"/>
        <v>meta</v>
      </c>
      <c r="H60" s="94"/>
      <c r="I60" s="91" t="str">
        <f t="shared" si="10"/>
        <v/>
      </c>
      <c r="J60" s="91" t="str">
        <f t="shared" si="3"/>
        <v/>
      </c>
      <c r="K60" s="68" t="str">
        <f t="shared" si="11"/>
        <v/>
      </c>
      <c r="L60" s="64"/>
      <c r="M60" s="92">
        <f t="shared" si="4"/>
        <v>615.1227038</v>
      </c>
      <c r="N60" s="92">
        <f t="shared" si="5"/>
        <v>1264.58327</v>
      </c>
      <c r="O60" s="92">
        <f t="shared" si="6"/>
        <v>2086.685252</v>
      </c>
      <c r="P60" s="4"/>
      <c r="Q60" s="4"/>
      <c r="R60" s="4"/>
      <c r="S60" s="4"/>
      <c r="T60" s="4"/>
      <c r="U60" s="4"/>
      <c r="V60" s="8">
        <f t="shared" si="12"/>
        <v>2501.977593</v>
      </c>
      <c r="W60" s="5" t="str">
        <f t="shared" si="7"/>
        <v>meta</v>
      </c>
      <c r="X60" s="67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</row>
    <row r="61" ht="19.5" customHeight="1">
      <c r="A61" s="56" t="s">
        <v>28</v>
      </c>
      <c r="B61" s="57">
        <v>42.0</v>
      </c>
      <c r="C61" s="89">
        <f t="shared" si="8"/>
        <v>4920.212727</v>
      </c>
      <c r="D61" s="89">
        <f t="shared" si="9"/>
        <v>546.690303</v>
      </c>
      <c r="E61" s="59"/>
      <c r="F61" s="60" t="str">
        <f t="shared" si="1"/>
        <v>-</v>
      </c>
      <c r="G61" s="5" t="str">
        <f t="shared" si="2"/>
        <v>meta</v>
      </c>
      <c r="H61" s="94"/>
      <c r="I61" s="91" t="str">
        <f t="shared" si="10"/>
        <v/>
      </c>
      <c r="J61" s="91" t="str">
        <f t="shared" si="3"/>
        <v/>
      </c>
      <c r="K61" s="68" t="str">
        <f t="shared" si="11"/>
        <v/>
      </c>
      <c r="L61" s="64"/>
      <c r="M61" s="92">
        <f t="shared" si="4"/>
        <v>692.0130417</v>
      </c>
      <c r="N61" s="92">
        <f t="shared" si="5"/>
        <v>1422.656179</v>
      </c>
      <c r="O61" s="92">
        <f t="shared" si="6"/>
        <v>2347.520909</v>
      </c>
      <c r="P61" s="4"/>
      <c r="Q61" s="4"/>
      <c r="R61" s="4"/>
      <c r="S61" s="4"/>
      <c r="T61" s="4"/>
      <c r="U61" s="4"/>
      <c r="V61" s="8">
        <f t="shared" si="12"/>
        <v>2814.724792</v>
      </c>
      <c r="W61" s="5" t="str">
        <f t="shared" si="7"/>
        <v>meta</v>
      </c>
      <c r="X61" s="67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</row>
    <row r="62" ht="19.5" customHeight="1">
      <c r="A62" s="56" t="s">
        <v>28</v>
      </c>
      <c r="B62" s="57">
        <v>43.0</v>
      </c>
      <c r="C62" s="89">
        <f t="shared" si="8"/>
        <v>5535.239317</v>
      </c>
      <c r="D62" s="89">
        <f t="shared" si="9"/>
        <v>615.0265908</v>
      </c>
      <c r="E62" s="59"/>
      <c r="F62" s="60" t="str">
        <f t="shared" si="1"/>
        <v>-</v>
      </c>
      <c r="G62" s="5" t="str">
        <f t="shared" si="2"/>
        <v>nops</v>
      </c>
      <c r="H62" s="94"/>
      <c r="I62" s="91" t="str">
        <f t="shared" si="10"/>
        <v/>
      </c>
      <c r="J62" s="91" t="str">
        <f t="shared" si="3"/>
        <v/>
      </c>
      <c r="K62" s="68" t="str">
        <f t="shared" si="11"/>
        <v/>
      </c>
      <c r="L62" s="64"/>
      <c r="M62" s="92">
        <f t="shared" si="4"/>
        <v>778.5146719</v>
      </c>
      <c r="N62" s="92">
        <f t="shared" si="5"/>
        <v>1600.488201</v>
      </c>
      <c r="O62" s="92">
        <f t="shared" si="6"/>
        <v>2640.961022</v>
      </c>
      <c r="P62" s="4"/>
      <c r="Q62" s="4"/>
      <c r="R62" s="4"/>
      <c r="S62" s="4"/>
      <c r="T62" s="4"/>
      <c r="U62" s="4"/>
      <c r="V62" s="8">
        <f t="shared" si="12"/>
        <v>3166.565392</v>
      </c>
      <c r="W62" s="5" t="str">
        <f t="shared" si="7"/>
        <v>meta</v>
      </c>
      <c r="X62" s="67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</row>
    <row r="63" ht="19.5" customHeight="1">
      <c r="A63" s="56" t="s">
        <v>28</v>
      </c>
      <c r="B63" s="57">
        <v>44.0</v>
      </c>
      <c r="C63" s="89">
        <f t="shared" si="8"/>
        <v>6227.144232</v>
      </c>
      <c r="D63" s="89">
        <f t="shared" si="9"/>
        <v>691.9049147</v>
      </c>
      <c r="E63" s="59"/>
      <c r="F63" s="60" t="str">
        <f t="shared" si="1"/>
        <v>-</v>
      </c>
      <c r="G63" s="5" t="str">
        <f t="shared" si="2"/>
        <v>nops</v>
      </c>
      <c r="H63" s="94"/>
      <c r="I63" s="91" t="str">
        <f t="shared" si="10"/>
        <v/>
      </c>
      <c r="J63" s="91" t="str">
        <f t="shared" si="3"/>
        <v/>
      </c>
      <c r="K63" s="68" t="str">
        <f t="shared" si="11"/>
        <v/>
      </c>
      <c r="L63" s="64"/>
      <c r="M63" s="92">
        <f t="shared" si="4"/>
        <v>875.8290059</v>
      </c>
      <c r="N63" s="92">
        <f t="shared" si="5"/>
        <v>1800.549226</v>
      </c>
      <c r="O63" s="92">
        <f t="shared" si="6"/>
        <v>2971.08115</v>
      </c>
      <c r="P63" s="4"/>
      <c r="Q63" s="4"/>
      <c r="R63" s="4"/>
      <c r="S63" s="4"/>
      <c r="T63" s="4"/>
      <c r="U63" s="4"/>
      <c r="V63" s="8">
        <f t="shared" si="12"/>
        <v>3562.386065</v>
      </c>
      <c r="W63" s="5" t="str">
        <f t="shared" si="7"/>
        <v>meta</v>
      </c>
      <c r="X63" s="67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</row>
    <row r="64" ht="19.5" customHeight="1">
      <c r="A64" s="56" t="s">
        <v>28</v>
      </c>
      <c r="B64" s="57">
        <v>45.0</v>
      </c>
      <c r="C64" s="89">
        <f t="shared" si="8"/>
        <v>7005.537261</v>
      </c>
      <c r="D64" s="89">
        <f t="shared" si="9"/>
        <v>778.393029</v>
      </c>
      <c r="E64" s="59"/>
      <c r="F64" s="60" t="str">
        <f t="shared" si="1"/>
        <v>-</v>
      </c>
      <c r="G64" s="5" t="str">
        <f t="shared" si="2"/>
        <v>nops</v>
      </c>
      <c r="H64" s="94"/>
      <c r="I64" s="91" t="str">
        <f t="shared" si="10"/>
        <v/>
      </c>
      <c r="J64" s="91" t="str">
        <f t="shared" si="3"/>
        <v/>
      </c>
      <c r="K64" s="68" t="str">
        <f t="shared" si="11"/>
        <v/>
      </c>
      <c r="L64" s="64"/>
      <c r="M64" s="92">
        <f t="shared" si="4"/>
        <v>985.3076317</v>
      </c>
      <c r="N64" s="92">
        <f t="shared" si="5"/>
        <v>2025.617879</v>
      </c>
      <c r="O64" s="92">
        <f t="shared" si="6"/>
        <v>3342.466294</v>
      </c>
      <c r="P64" s="4"/>
      <c r="Q64" s="4"/>
      <c r="R64" s="4"/>
      <c r="S64" s="4"/>
      <c r="T64" s="4"/>
      <c r="U64" s="4"/>
      <c r="V64" s="8">
        <f t="shared" si="12"/>
        <v>4007.684324</v>
      </c>
      <c r="W64" s="5" t="str">
        <f t="shared" si="7"/>
        <v>meta</v>
      </c>
      <c r="X64" s="67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</row>
    <row r="65" ht="19.5" customHeight="1">
      <c r="A65" s="56" t="s">
        <v>28</v>
      </c>
      <c r="B65" s="57">
        <v>46.0</v>
      </c>
      <c r="C65" s="89">
        <f t="shared" si="8"/>
        <v>7881.229419</v>
      </c>
      <c r="D65" s="89">
        <f t="shared" si="9"/>
        <v>875.6921577</v>
      </c>
      <c r="E65" s="59"/>
      <c r="F65" s="60" t="str">
        <f t="shared" si="1"/>
        <v>-</v>
      </c>
      <c r="G65" s="5" t="str">
        <f t="shared" si="2"/>
        <v>nops</v>
      </c>
      <c r="H65" s="94"/>
      <c r="I65" s="91" t="str">
        <f t="shared" si="10"/>
        <v/>
      </c>
      <c r="J65" s="91" t="str">
        <f t="shared" si="3"/>
        <v/>
      </c>
      <c r="K65" s="68" t="str">
        <f t="shared" si="11"/>
        <v/>
      </c>
      <c r="L65" s="64"/>
      <c r="M65" s="92">
        <f t="shared" si="4"/>
        <v>1108.471086</v>
      </c>
      <c r="N65" s="92">
        <f t="shared" si="5"/>
        <v>2278.820114</v>
      </c>
      <c r="O65" s="92">
        <f t="shared" si="6"/>
        <v>3760.274581</v>
      </c>
      <c r="P65" s="4"/>
      <c r="Q65" s="4"/>
      <c r="R65" s="4"/>
      <c r="S65" s="4"/>
      <c r="T65" s="4"/>
      <c r="U65" s="4"/>
      <c r="V65" s="8">
        <f t="shared" si="12"/>
        <v>4508.644864</v>
      </c>
      <c r="W65" s="5" t="str">
        <f t="shared" si="7"/>
        <v>meta</v>
      </c>
      <c r="X65" s="67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</row>
    <row r="66" ht="19.5" customHeight="1">
      <c r="A66" s="56" t="s">
        <v>28</v>
      </c>
      <c r="B66" s="57">
        <v>47.0</v>
      </c>
      <c r="C66" s="89">
        <f t="shared" si="8"/>
        <v>8866.383096</v>
      </c>
      <c r="D66" s="89">
        <f t="shared" si="9"/>
        <v>985.1536774</v>
      </c>
      <c r="E66" s="59"/>
      <c r="F66" s="60" t="str">
        <f t="shared" si="1"/>
        <v>-</v>
      </c>
      <c r="G66" s="5" t="str">
        <f t="shared" si="2"/>
        <v>nops</v>
      </c>
      <c r="H66" s="94"/>
      <c r="I66" s="91" t="str">
        <f t="shared" si="10"/>
        <v/>
      </c>
      <c r="J66" s="91" t="str">
        <f t="shared" si="3"/>
        <v/>
      </c>
      <c r="K66" s="68" t="str">
        <f t="shared" si="11"/>
        <v/>
      </c>
      <c r="L66" s="64"/>
      <c r="M66" s="92">
        <f t="shared" si="4"/>
        <v>1247.029971</v>
      </c>
      <c r="N66" s="92">
        <f t="shared" si="5"/>
        <v>2563.672628</v>
      </c>
      <c r="O66" s="92">
        <f t="shared" si="6"/>
        <v>4230.308903</v>
      </c>
      <c r="P66" s="4"/>
      <c r="Q66" s="4"/>
      <c r="R66" s="4"/>
      <c r="S66" s="4"/>
      <c r="T66" s="4"/>
      <c r="U66" s="4"/>
      <c r="V66" s="8">
        <f t="shared" si="12"/>
        <v>5072.225472</v>
      </c>
      <c r="W66" s="5" t="str">
        <f t="shared" si="7"/>
        <v>nops</v>
      </c>
      <c r="X66" s="67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</row>
    <row r="67" ht="19.5" customHeight="1">
      <c r="A67" s="56" t="s">
        <v>28</v>
      </c>
      <c r="B67" s="57">
        <v>48.0</v>
      </c>
      <c r="C67" s="89">
        <f t="shared" si="8"/>
        <v>9974.680983</v>
      </c>
      <c r="D67" s="89">
        <f t="shared" si="9"/>
        <v>1108.297887</v>
      </c>
      <c r="E67" s="59"/>
      <c r="F67" s="60" t="str">
        <f t="shared" si="1"/>
        <v>-</v>
      </c>
      <c r="G67" s="5" t="str">
        <f t="shared" si="2"/>
        <v>nops</v>
      </c>
      <c r="H67" s="94"/>
      <c r="I67" s="91" t="str">
        <f t="shared" si="10"/>
        <v/>
      </c>
      <c r="J67" s="91" t="str">
        <f t="shared" si="3"/>
        <v/>
      </c>
      <c r="K67" s="68" t="str">
        <f t="shared" si="11"/>
        <v/>
      </c>
      <c r="L67" s="64"/>
      <c r="M67" s="92">
        <f t="shared" si="4"/>
        <v>1402.908718</v>
      </c>
      <c r="N67" s="92">
        <f t="shared" si="5"/>
        <v>2884.131707</v>
      </c>
      <c r="O67" s="92">
        <f t="shared" si="6"/>
        <v>4759.097516</v>
      </c>
      <c r="P67" s="4"/>
      <c r="Q67" s="4"/>
      <c r="R67" s="4"/>
      <c r="S67" s="4"/>
      <c r="T67" s="4"/>
      <c r="U67" s="4"/>
      <c r="V67" s="8">
        <f t="shared" si="12"/>
        <v>5706.253656</v>
      </c>
      <c r="W67" s="5" t="str">
        <f t="shared" si="7"/>
        <v>nops</v>
      </c>
      <c r="X67" s="67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</row>
    <row r="68" ht="19.5" customHeight="1">
      <c r="A68" s="56" t="s">
        <v>28</v>
      </c>
      <c r="B68" s="57">
        <v>49.0</v>
      </c>
      <c r="C68" s="89">
        <f t="shared" si="8"/>
        <v>11221.51611</v>
      </c>
      <c r="D68" s="89">
        <f t="shared" si="9"/>
        <v>1246.835123</v>
      </c>
      <c r="E68" s="59"/>
      <c r="F68" s="60" t="str">
        <f t="shared" si="1"/>
        <v>-</v>
      </c>
      <c r="G68" s="5" t="str">
        <f t="shared" si="2"/>
        <v>nops</v>
      </c>
      <c r="H68" s="94"/>
      <c r="I68" s="91" t="str">
        <f t="shared" si="10"/>
        <v/>
      </c>
      <c r="J68" s="91" t="str">
        <f t="shared" si="3"/>
        <v/>
      </c>
      <c r="K68" s="68" t="str">
        <f t="shared" si="11"/>
        <v/>
      </c>
      <c r="L68" s="64"/>
      <c r="M68" s="92">
        <f t="shared" si="4"/>
        <v>1578.272307</v>
      </c>
      <c r="N68" s="92">
        <f t="shared" si="5"/>
        <v>3244.64817</v>
      </c>
      <c r="O68" s="92">
        <f t="shared" si="6"/>
        <v>5353.984706</v>
      </c>
      <c r="P68" s="4"/>
      <c r="Q68" s="4"/>
      <c r="R68" s="4"/>
      <c r="S68" s="4"/>
      <c r="T68" s="4"/>
      <c r="U68" s="4"/>
      <c r="V68" s="8">
        <f t="shared" si="12"/>
        <v>6419.535363</v>
      </c>
      <c r="W68" s="5" t="str">
        <f t="shared" si="7"/>
        <v>nops</v>
      </c>
      <c r="X68" s="67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</row>
    <row r="69" ht="19.5" customHeight="1">
      <c r="A69" s="56" t="s">
        <v>28</v>
      </c>
      <c r="B69" s="57">
        <v>50.0</v>
      </c>
      <c r="C69" s="89">
        <f t="shared" si="8"/>
        <v>12624.20562</v>
      </c>
      <c r="D69" s="89">
        <f t="shared" si="9"/>
        <v>1402.689513</v>
      </c>
      <c r="E69" s="59"/>
      <c r="F69" s="60" t="str">
        <f t="shared" si="1"/>
        <v>-</v>
      </c>
      <c r="G69" s="5" t="str">
        <f t="shared" si="2"/>
        <v>nops</v>
      </c>
      <c r="H69" s="94"/>
      <c r="I69" s="91" t="str">
        <f t="shared" si="10"/>
        <v/>
      </c>
      <c r="J69" s="91" t="str">
        <f t="shared" si="3"/>
        <v/>
      </c>
      <c r="K69" s="68" t="str">
        <f t="shared" si="11"/>
        <v/>
      </c>
      <c r="L69" s="64"/>
      <c r="M69" s="92">
        <f t="shared" si="4"/>
        <v>1775.556346</v>
      </c>
      <c r="N69" s="92">
        <f t="shared" si="5"/>
        <v>3650.229192</v>
      </c>
      <c r="O69" s="92">
        <f t="shared" si="6"/>
        <v>6023.232794</v>
      </c>
      <c r="P69" s="4"/>
      <c r="Q69" s="4"/>
      <c r="R69" s="4"/>
      <c r="S69" s="4"/>
      <c r="T69" s="4"/>
      <c r="U69" s="4"/>
      <c r="V69" s="8">
        <f t="shared" si="12"/>
        <v>7221.977283</v>
      </c>
      <c r="W69" s="5" t="str">
        <f t="shared" si="7"/>
        <v>nops</v>
      </c>
      <c r="X69" s="67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</row>
    <row r="70" ht="19.5" customHeight="1">
      <c r="A70" s="56" t="s">
        <v>28</v>
      </c>
      <c r="B70" s="57">
        <v>51.0</v>
      </c>
      <c r="C70" s="89">
        <f t="shared" si="8"/>
        <v>14202.23132</v>
      </c>
      <c r="D70" s="89">
        <f t="shared" si="9"/>
        <v>1578.025702</v>
      </c>
      <c r="E70" s="59"/>
      <c r="F70" s="60" t="str">
        <f t="shared" si="1"/>
        <v>-</v>
      </c>
      <c r="G70" s="5" t="str">
        <f t="shared" si="2"/>
        <v>nops</v>
      </c>
      <c r="H70" s="94"/>
      <c r="I70" s="91" t="str">
        <f t="shared" si="10"/>
        <v/>
      </c>
      <c r="J70" s="91" t="str">
        <f t="shared" si="3"/>
        <v/>
      </c>
      <c r="K70" s="68" t="str">
        <f t="shared" si="11"/>
        <v/>
      </c>
      <c r="L70" s="64"/>
      <c r="M70" s="92">
        <f t="shared" si="4"/>
        <v>1997.500889</v>
      </c>
      <c r="N70" s="92">
        <f t="shared" si="5"/>
        <v>4106.507841</v>
      </c>
      <c r="O70" s="92">
        <f t="shared" si="6"/>
        <v>6776.136893</v>
      </c>
      <c r="P70" s="4"/>
      <c r="Q70" s="4"/>
      <c r="R70" s="4"/>
      <c r="S70" s="4"/>
      <c r="T70" s="4"/>
      <c r="U70" s="4"/>
      <c r="V70" s="8">
        <f t="shared" si="12"/>
        <v>8124.724444</v>
      </c>
      <c r="W70" s="5" t="str">
        <f t="shared" si="7"/>
        <v>nops</v>
      </c>
      <c r="X70" s="67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</row>
    <row r="71" ht="19.5" customHeight="1">
      <c r="A71" s="56" t="s">
        <v>28</v>
      </c>
      <c r="B71" s="57">
        <v>52.0</v>
      </c>
      <c r="C71" s="89">
        <f t="shared" si="8"/>
        <v>15977.51024</v>
      </c>
      <c r="D71" s="89">
        <f t="shared" si="9"/>
        <v>1775.278915</v>
      </c>
      <c r="E71" s="59"/>
      <c r="F71" s="60" t="str">
        <f t="shared" si="1"/>
        <v>-</v>
      </c>
      <c r="G71" s="5" t="str">
        <f t="shared" si="2"/>
        <v>nops</v>
      </c>
      <c r="H71" s="94"/>
      <c r="I71" s="91" t="str">
        <f t="shared" si="10"/>
        <v/>
      </c>
      <c r="J71" s="91" t="str">
        <f t="shared" si="3"/>
        <v/>
      </c>
      <c r="K71" s="68" t="str">
        <f t="shared" si="11"/>
        <v/>
      </c>
      <c r="L71" s="64"/>
      <c r="M71" s="92">
        <f t="shared" si="4"/>
        <v>2247.1885</v>
      </c>
      <c r="N71" s="92">
        <f t="shared" si="5"/>
        <v>4619.821321</v>
      </c>
      <c r="O71" s="92">
        <f t="shared" si="6"/>
        <v>7623.154005</v>
      </c>
      <c r="P71" s="4"/>
      <c r="Q71" s="4"/>
      <c r="R71" s="4"/>
      <c r="S71" s="4"/>
      <c r="T71" s="4"/>
      <c r="U71" s="4"/>
      <c r="V71" s="8">
        <f t="shared" si="12"/>
        <v>9140.314999</v>
      </c>
      <c r="W71" s="5" t="str">
        <f t="shared" si="7"/>
        <v>nops</v>
      </c>
      <c r="X71" s="67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</row>
    <row r="72" ht="19.5" customHeight="1">
      <c r="A72" s="56" t="s">
        <v>28</v>
      </c>
      <c r="B72" s="57">
        <v>53.0</v>
      </c>
      <c r="C72" s="89">
        <f t="shared" si="8"/>
        <v>17974.69902</v>
      </c>
      <c r="D72" s="89">
        <f t="shared" si="9"/>
        <v>1997.18878</v>
      </c>
      <c r="E72" s="59"/>
      <c r="F72" s="60" t="str">
        <f t="shared" si="1"/>
        <v>-</v>
      </c>
      <c r="G72" s="5" t="str">
        <f t="shared" si="2"/>
        <v>nops</v>
      </c>
      <c r="H72" s="94"/>
      <c r="I72" s="91" t="str">
        <f t="shared" si="10"/>
        <v/>
      </c>
      <c r="J72" s="91" t="str">
        <f t="shared" si="3"/>
        <v/>
      </c>
      <c r="K72" s="68" t="str">
        <f t="shared" si="11"/>
        <v/>
      </c>
      <c r="L72" s="64"/>
      <c r="M72" s="92">
        <f t="shared" si="4"/>
        <v>2528.087063</v>
      </c>
      <c r="N72" s="92">
        <f t="shared" si="5"/>
        <v>5197.298986</v>
      </c>
      <c r="O72" s="92">
        <f t="shared" si="6"/>
        <v>8576.048255</v>
      </c>
      <c r="P72" s="4"/>
      <c r="Q72" s="4"/>
      <c r="R72" s="4"/>
      <c r="S72" s="4"/>
      <c r="T72" s="4"/>
      <c r="U72" s="4"/>
      <c r="V72" s="8">
        <f t="shared" si="12"/>
        <v>10282.85437</v>
      </c>
      <c r="W72" s="5" t="str">
        <f t="shared" si="7"/>
        <v>nops</v>
      </c>
      <c r="X72" s="67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</row>
    <row r="73" ht="19.5" customHeight="1">
      <c r="A73" s="56" t="s">
        <v>28</v>
      </c>
      <c r="B73" s="57">
        <v>54.0</v>
      </c>
      <c r="C73" s="89">
        <f t="shared" si="8"/>
        <v>20221.53639</v>
      </c>
      <c r="D73" s="89">
        <f t="shared" si="9"/>
        <v>2246.837377</v>
      </c>
      <c r="E73" s="59"/>
      <c r="F73" s="60" t="str">
        <f t="shared" si="1"/>
        <v>-</v>
      </c>
      <c r="G73" s="5" t="str">
        <f t="shared" si="2"/>
        <v>nops</v>
      </c>
      <c r="H73" s="94"/>
      <c r="I73" s="91" t="str">
        <f t="shared" si="10"/>
        <v/>
      </c>
      <c r="J73" s="91" t="str">
        <f t="shared" si="3"/>
        <v/>
      </c>
      <c r="K73" s="68" t="str">
        <f t="shared" si="11"/>
        <v/>
      </c>
      <c r="L73" s="64"/>
      <c r="M73" s="92">
        <f t="shared" si="4"/>
        <v>2844.097946</v>
      </c>
      <c r="N73" s="92">
        <f t="shared" si="5"/>
        <v>5846.961359</v>
      </c>
      <c r="O73" s="92">
        <f t="shared" si="6"/>
        <v>9648.054287</v>
      </c>
      <c r="P73" s="4"/>
      <c r="Q73" s="4"/>
      <c r="R73" s="4"/>
      <c r="S73" s="4"/>
      <c r="T73" s="4"/>
      <c r="U73" s="4"/>
      <c r="V73" s="8">
        <f t="shared" si="12"/>
        <v>11568.21117</v>
      </c>
      <c r="W73" s="5" t="str">
        <f t="shared" si="7"/>
        <v>nops</v>
      </c>
      <c r="X73" s="67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</row>
    <row r="74" ht="19.5" customHeight="1">
      <c r="A74" s="56" t="s">
        <v>28</v>
      </c>
      <c r="B74" s="57">
        <v>55.0</v>
      </c>
      <c r="C74" s="89">
        <f t="shared" si="8"/>
        <v>22749.22844</v>
      </c>
      <c r="D74" s="89">
        <f t="shared" si="9"/>
        <v>2527.692049</v>
      </c>
      <c r="E74" s="59"/>
      <c r="F74" s="60" t="str">
        <f t="shared" si="1"/>
        <v>-</v>
      </c>
      <c r="G74" s="5" t="str">
        <f t="shared" si="2"/>
        <v>nops</v>
      </c>
      <c r="H74" s="94"/>
      <c r="I74" s="91" t="str">
        <f t="shared" si="10"/>
        <v/>
      </c>
      <c r="J74" s="91" t="str">
        <f t="shared" si="3"/>
        <v/>
      </c>
      <c r="K74" s="68" t="str">
        <f t="shared" si="11"/>
        <v/>
      </c>
      <c r="L74" s="64"/>
      <c r="M74" s="92">
        <f t="shared" si="4"/>
        <v>3199.610189</v>
      </c>
      <c r="N74" s="92">
        <f t="shared" si="5"/>
        <v>6577.831529</v>
      </c>
      <c r="O74" s="92">
        <f t="shared" si="6"/>
        <v>10854.06107</v>
      </c>
      <c r="P74" s="4"/>
      <c r="Q74" s="4"/>
      <c r="R74" s="4"/>
      <c r="S74" s="4"/>
      <c r="T74" s="4"/>
      <c r="U74" s="4"/>
      <c r="V74" s="8">
        <f t="shared" si="12"/>
        <v>13014.23757</v>
      </c>
      <c r="W74" s="5" t="str">
        <f t="shared" si="7"/>
        <v>nops</v>
      </c>
      <c r="X74" s="67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</row>
    <row r="75" ht="19.5" customHeight="1">
      <c r="A75" s="56" t="s">
        <v>28</v>
      </c>
      <c r="B75" s="57">
        <v>56.0</v>
      </c>
      <c r="C75" s="89">
        <f t="shared" si="8"/>
        <v>25592.882</v>
      </c>
      <c r="D75" s="89">
        <f t="shared" si="9"/>
        <v>2843.653555</v>
      </c>
      <c r="E75" s="59"/>
      <c r="F75" s="60" t="str">
        <f t="shared" si="1"/>
        <v>-</v>
      </c>
      <c r="G75" s="5" t="str">
        <f t="shared" si="2"/>
        <v>nops</v>
      </c>
      <c r="H75" s="94"/>
      <c r="I75" s="91" t="str">
        <f t="shared" si="10"/>
        <v/>
      </c>
      <c r="J75" s="91" t="str">
        <f t="shared" si="3"/>
        <v/>
      </c>
      <c r="K75" s="68" t="str">
        <f t="shared" si="11"/>
        <v/>
      </c>
      <c r="L75" s="64"/>
      <c r="M75" s="92">
        <f t="shared" si="4"/>
        <v>3599.561463</v>
      </c>
      <c r="N75" s="92">
        <f t="shared" si="5"/>
        <v>7400.06047</v>
      </c>
      <c r="O75" s="92">
        <f t="shared" si="6"/>
        <v>12210.81871</v>
      </c>
      <c r="P75" s="4"/>
      <c r="Q75" s="4"/>
      <c r="R75" s="4"/>
      <c r="S75" s="4"/>
      <c r="T75" s="4"/>
      <c r="U75" s="4"/>
      <c r="V75" s="8">
        <f t="shared" si="12"/>
        <v>14641.01726</v>
      </c>
      <c r="W75" s="5" t="str">
        <f t="shared" si="7"/>
        <v>nops</v>
      </c>
      <c r="X75" s="67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</row>
    <row r="76" ht="19.5" customHeight="1">
      <c r="A76" s="56" t="s">
        <v>28</v>
      </c>
      <c r="B76" s="57">
        <v>57.0</v>
      </c>
      <c r="C76" s="89">
        <f t="shared" si="8"/>
        <v>28791.99225</v>
      </c>
      <c r="D76" s="89">
        <f t="shared" si="9"/>
        <v>3199.11025</v>
      </c>
      <c r="E76" s="59"/>
      <c r="F76" s="60" t="str">
        <f t="shared" si="1"/>
        <v>-</v>
      </c>
      <c r="G76" s="5" t="str">
        <f t="shared" si="2"/>
        <v>nops</v>
      </c>
      <c r="H76" s="94"/>
      <c r="I76" s="91" t="str">
        <f t="shared" si="10"/>
        <v/>
      </c>
      <c r="J76" s="91" t="str">
        <f t="shared" si="3"/>
        <v/>
      </c>
      <c r="K76" s="68" t="str">
        <f t="shared" si="11"/>
        <v/>
      </c>
      <c r="L76" s="64"/>
      <c r="M76" s="92">
        <f t="shared" si="4"/>
        <v>4049.506645</v>
      </c>
      <c r="N76" s="92">
        <f t="shared" si="5"/>
        <v>8325.068029</v>
      </c>
      <c r="O76" s="92">
        <f t="shared" si="6"/>
        <v>13737.17105</v>
      </c>
      <c r="P76" s="4"/>
      <c r="Q76" s="4"/>
      <c r="R76" s="4"/>
      <c r="S76" s="4"/>
      <c r="T76" s="4"/>
      <c r="U76" s="4"/>
      <c r="V76" s="8">
        <f t="shared" si="12"/>
        <v>16471.14442</v>
      </c>
      <c r="W76" s="5" t="str">
        <f t="shared" si="7"/>
        <v>nops</v>
      </c>
      <c r="X76" s="67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</row>
    <row r="77" ht="19.5" customHeight="1">
      <c r="A77" s="56" t="s">
        <v>28</v>
      </c>
      <c r="B77" s="57">
        <v>58.0</v>
      </c>
      <c r="C77" s="89">
        <f t="shared" si="8"/>
        <v>32390.99128</v>
      </c>
      <c r="D77" s="89">
        <f t="shared" si="9"/>
        <v>3598.999031</v>
      </c>
      <c r="E77" s="59"/>
      <c r="F77" s="60" t="str">
        <f t="shared" si="1"/>
        <v>-</v>
      </c>
      <c r="G77" s="5" t="str">
        <f t="shared" si="2"/>
        <v>nops</v>
      </c>
      <c r="H77" s="94"/>
      <c r="I77" s="91" t="str">
        <f t="shared" si="10"/>
        <v/>
      </c>
      <c r="J77" s="91" t="str">
        <f t="shared" si="3"/>
        <v/>
      </c>
      <c r="K77" s="68" t="str">
        <f t="shared" si="11"/>
        <v/>
      </c>
      <c r="L77" s="64"/>
      <c r="M77" s="92">
        <f t="shared" si="4"/>
        <v>4555.694976</v>
      </c>
      <c r="N77" s="92">
        <f t="shared" si="5"/>
        <v>9365.701532</v>
      </c>
      <c r="O77" s="92">
        <f t="shared" si="6"/>
        <v>15454.31743</v>
      </c>
      <c r="P77" s="4"/>
      <c r="Q77" s="4"/>
      <c r="R77" s="4"/>
      <c r="S77" s="4"/>
      <c r="T77" s="4"/>
      <c r="U77" s="4"/>
      <c r="V77" s="8">
        <f t="shared" si="12"/>
        <v>18530.03747</v>
      </c>
      <c r="W77" s="5" t="str">
        <f t="shared" si="7"/>
        <v>nops</v>
      </c>
      <c r="X77" s="67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</row>
    <row r="78" ht="19.5" customHeight="1">
      <c r="A78" s="56" t="s">
        <v>28</v>
      </c>
      <c r="B78" s="57">
        <v>59.0</v>
      </c>
      <c r="C78" s="89">
        <f t="shared" si="8"/>
        <v>36439.86519</v>
      </c>
      <c r="D78" s="89">
        <f t="shared" si="9"/>
        <v>4048.87391</v>
      </c>
      <c r="E78" s="59"/>
      <c r="F78" s="60" t="str">
        <f t="shared" si="1"/>
        <v>-</v>
      </c>
      <c r="G78" s="5" t="str">
        <f t="shared" si="2"/>
        <v>nops</v>
      </c>
      <c r="H78" s="94"/>
      <c r="I78" s="91" t="str">
        <f t="shared" si="10"/>
        <v/>
      </c>
      <c r="J78" s="91" t="str">
        <f t="shared" si="3"/>
        <v/>
      </c>
      <c r="K78" s="68" t="str">
        <f t="shared" si="11"/>
        <v/>
      </c>
      <c r="L78" s="64"/>
      <c r="M78" s="92">
        <f t="shared" si="4"/>
        <v>5125.156848</v>
      </c>
      <c r="N78" s="92">
        <f t="shared" si="5"/>
        <v>10536.41422</v>
      </c>
      <c r="O78" s="92">
        <f t="shared" si="6"/>
        <v>17386.1071</v>
      </c>
      <c r="P78" s="4"/>
      <c r="Q78" s="4"/>
      <c r="R78" s="4"/>
      <c r="S78" s="4"/>
      <c r="T78" s="4"/>
      <c r="U78" s="4"/>
      <c r="V78" s="8">
        <f t="shared" si="12"/>
        <v>20846.29216</v>
      </c>
      <c r="W78" s="5" t="str">
        <f t="shared" si="7"/>
        <v>nops</v>
      </c>
      <c r="X78" s="67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</row>
    <row r="79" ht="19.5" customHeight="1">
      <c r="A79" s="56" t="s">
        <v>28</v>
      </c>
      <c r="B79" s="57">
        <v>60.0</v>
      </c>
      <c r="C79" s="89">
        <f t="shared" si="8"/>
        <v>40994.84834</v>
      </c>
      <c r="D79" s="89">
        <f t="shared" si="9"/>
        <v>4554.983149</v>
      </c>
      <c r="E79" s="59"/>
      <c r="F79" s="60" t="str">
        <f t="shared" si="1"/>
        <v>-</v>
      </c>
      <c r="G79" s="5" t="str">
        <f t="shared" si="2"/>
        <v>nops</v>
      </c>
      <c r="H79" s="94"/>
      <c r="I79" s="91" t="str">
        <f t="shared" si="10"/>
        <v/>
      </c>
      <c r="J79" s="91" t="str">
        <f t="shared" si="3"/>
        <v/>
      </c>
      <c r="K79" s="68" t="str">
        <f t="shared" si="11"/>
        <v/>
      </c>
      <c r="L79" s="64"/>
      <c r="M79" s="92">
        <f t="shared" si="4"/>
        <v>5765.801454</v>
      </c>
      <c r="N79" s="92">
        <f t="shared" si="5"/>
        <v>11853.466</v>
      </c>
      <c r="O79" s="92">
        <f t="shared" si="6"/>
        <v>19559.37049</v>
      </c>
      <c r="P79" s="4"/>
      <c r="Q79" s="4"/>
      <c r="R79" s="4"/>
      <c r="S79" s="4"/>
      <c r="T79" s="4"/>
      <c r="U79" s="4"/>
      <c r="V79" s="8">
        <f t="shared" si="12"/>
        <v>23452.07868</v>
      </c>
      <c r="W79" s="5" t="str">
        <f t="shared" si="7"/>
        <v>nops</v>
      </c>
      <c r="X79" s="67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</row>
    <row r="80" ht="19.5" customHeight="1">
      <c r="A80" s="56" t="s">
        <v>28</v>
      </c>
      <c r="B80" s="57">
        <v>61.0</v>
      </c>
      <c r="C80" s="89">
        <f t="shared" si="8"/>
        <v>46119.20438</v>
      </c>
      <c r="D80" s="89">
        <f t="shared" si="9"/>
        <v>5124.356042</v>
      </c>
      <c r="E80" s="59"/>
      <c r="F80" s="60" t="str">
        <f t="shared" si="1"/>
        <v>-</v>
      </c>
      <c r="G80" s="5" t="str">
        <f t="shared" si="2"/>
        <v>nops</v>
      </c>
      <c r="H80" s="94"/>
      <c r="I80" s="91" t="str">
        <f t="shared" si="10"/>
        <v/>
      </c>
      <c r="J80" s="91" t="str">
        <f t="shared" si="3"/>
        <v/>
      </c>
      <c r="K80" s="68" t="str">
        <f t="shared" si="11"/>
        <v/>
      </c>
      <c r="L80" s="64"/>
      <c r="M80" s="92">
        <f t="shared" si="4"/>
        <v>6486.526636</v>
      </c>
      <c r="N80" s="92">
        <f t="shared" si="5"/>
        <v>13335.14925</v>
      </c>
      <c r="O80" s="92">
        <f t="shared" si="6"/>
        <v>22004.2918</v>
      </c>
      <c r="P80" s="4"/>
      <c r="Q80" s="4"/>
      <c r="R80" s="4"/>
      <c r="S80" s="4"/>
      <c r="T80" s="4"/>
      <c r="U80" s="4"/>
      <c r="V80" s="8">
        <f t="shared" si="12"/>
        <v>26383.58851</v>
      </c>
      <c r="W80" s="5" t="str">
        <f t="shared" si="7"/>
        <v>nops</v>
      </c>
      <c r="X80" s="67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</row>
    <row r="81" ht="19.5" customHeight="1">
      <c r="A81" s="56" t="s">
        <v>28</v>
      </c>
      <c r="B81" s="57">
        <v>62.0</v>
      </c>
      <c r="C81" s="89">
        <f t="shared" si="8"/>
        <v>51884.10493</v>
      </c>
      <c r="D81" s="89">
        <f t="shared" si="9"/>
        <v>5764.900547</v>
      </c>
      <c r="E81" s="59"/>
      <c r="F81" s="60" t="str">
        <f t="shared" si="1"/>
        <v>-</v>
      </c>
      <c r="G81" s="5" t="str">
        <f t="shared" si="2"/>
        <v>nops</v>
      </c>
      <c r="H81" s="94"/>
      <c r="I81" s="91" t="str">
        <f t="shared" si="10"/>
        <v/>
      </c>
      <c r="J81" s="91" t="str">
        <f t="shared" si="3"/>
        <v/>
      </c>
      <c r="K81" s="68" t="str">
        <f t="shared" si="11"/>
        <v/>
      </c>
      <c r="L81" s="64"/>
      <c r="M81" s="92">
        <f t="shared" si="4"/>
        <v>7297.342465</v>
      </c>
      <c r="N81" s="92">
        <f t="shared" si="5"/>
        <v>15002.04291</v>
      </c>
      <c r="O81" s="92">
        <f t="shared" si="6"/>
        <v>24754.82828</v>
      </c>
      <c r="P81" s="4"/>
      <c r="Q81" s="4"/>
      <c r="R81" s="4"/>
      <c r="S81" s="4"/>
      <c r="T81" s="4"/>
      <c r="U81" s="4"/>
      <c r="V81" s="8">
        <f t="shared" si="12"/>
        <v>29681.53708</v>
      </c>
      <c r="W81" s="5" t="str">
        <f t="shared" si="7"/>
        <v>nops</v>
      </c>
      <c r="X81" s="67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</row>
    <row r="82" ht="19.5" customHeight="1">
      <c r="A82" s="56" t="s">
        <v>28</v>
      </c>
      <c r="B82" s="57">
        <v>63.0</v>
      </c>
      <c r="C82" s="89">
        <f t="shared" si="8"/>
        <v>58369.61804</v>
      </c>
      <c r="D82" s="89">
        <f t="shared" si="9"/>
        <v>6485.513116</v>
      </c>
      <c r="E82" s="59"/>
      <c r="F82" s="60" t="str">
        <f t="shared" si="1"/>
        <v>-</v>
      </c>
      <c r="G82" s="5" t="str">
        <f t="shared" si="2"/>
        <v>nops</v>
      </c>
      <c r="H82" s="94"/>
      <c r="I82" s="91" t="str">
        <f t="shared" si="10"/>
        <v/>
      </c>
      <c r="J82" s="91" t="str">
        <f t="shared" si="3"/>
        <v/>
      </c>
      <c r="K82" s="68" t="str">
        <f t="shared" si="11"/>
        <v/>
      </c>
      <c r="L82" s="64"/>
      <c r="M82" s="92">
        <f t="shared" si="4"/>
        <v>8209.510273</v>
      </c>
      <c r="N82" s="92">
        <f t="shared" si="5"/>
        <v>16877.29827</v>
      </c>
      <c r="O82" s="92">
        <f t="shared" si="6"/>
        <v>27849.18181</v>
      </c>
      <c r="P82" s="4"/>
      <c r="Q82" s="4"/>
      <c r="R82" s="4"/>
      <c r="S82" s="4"/>
      <c r="T82" s="4"/>
      <c r="U82" s="4"/>
      <c r="V82" s="8">
        <f t="shared" si="12"/>
        <v>33391.72921</v>
      </c>
      <c r="W82" s="5" t="str">
        <f t="shared" si="7"/>
        <v>nops</v>
      </c>
      <c r="X82" s="67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</row>
    <row r="83" ht="19.5" customHeight="1">
      <c r="A83" s="56" t="s">
        <v>28</v>
      </c>
      <c r="B83" s="57">
        <v>64.0</v>
      </c>
      <c r="C83" s="89">
        <f t="shared" si="8"/>
        <v>65665.8203</v>
      </c>
      <c r="D83" s="89">
        <f t="shared" si="9"/>
        <v>7296.202255</v>
      </c>
      <c r="E83" s="59"/>
      <c r="F83" s="60" t="str">
        <f t="shared" si="1"/>
        <v>-</v>
      </c>
      <c r="G83" s="5" t="str">
        <f t="shared" si="2"/>
        <v>nops</v>
      </c>
      <c r="H83" s="94"/>
      <c r="I83" s="91" t="str">
        <f t="shared" si="10"/>
        <v/>
      </c>
      <c r="J83" s="91" t="str">
        <f t="shared" si="3"/>
        <v/>
      </c>
      <c r="K83" s="68" t="str">
        <f t="shared" si="11"/>
        <v/>
      </c>
      <c r="L83" s="64"/>
      <c r="M83" s="92">
        <f t="shared" si="4"/>
        <v>9235.699057</v>
      </c>
      <c r="N83" s="92">
        <f t="shared" si="5"/>
        <v>18986.96056</v>
      </c>
      <c r="O83" s="92">
        <f t="shared" si="6"/>
        <v>31330.32954</v>
      </c>
      <c r="P83" s="4"/>
      <c r="Q83" s="4"/>
      <c r="R83" s="4"/>
      <c r="S83" s="4"/>
      <c r="T83" s="4"/>
      <c r="U83" s="4"/>
      <c r="V83" s="8">
        <f t="shared" si="12"/>
        <v>37565.69536</v>
      </c>
      <c r="W83" s="5" t="str">
        <f t="shared" si="7"/>
        <v>nops</v>
      </c>
      <c r="X83" s="67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</row>
    <row r="84" ht="19.5" customHeight="1">
      <c r="A84" s="56" t="s">
        <v>28</v>
      </c>
      <c r="B84" s="57">
        <v>65.0</v>
      </c>
      <c r="C84" s="89">
        <f t="shared" si="8"/>
        <v>73874.04784</v>
      </c>
      <c r="D84" s="89">
        <f t="shared" si="9"/>
        <v>8208.227537</v>
      </c>
      <c r="E84" s="59"/>
      <c r="F84" s="60" t="str">
        <f t="shared" si="1"/>
        <v>-</v>
      </c>
      <c r="G84" s="5" t="str">
        <f t="shared" si="2"/>
        <v>nops</v>
      </c>
      <c r="H84" s="94"/>
      <c r="I84" s="91" t="str">
        <f t="shared" si="10"/>
        <v/>
      </c>
      <c r="J84" s="91" t="str">
        <f t="shared" si="3"/>
        <v/>
      </c>
      <c r="K84" s="68" t="str">
        <f t="shared" si="11"/>
        <v/>
      </c>
      <c r="L84" s="64"/>
      <c r="M84" s="65"/>
      <c r="N84" s="65"/>
      <c r="O84" s="65"/>
      <c r="P84" s="4"/>
      <c r="Q84" s="4"/>
      <c r="R84" s="4"/>
      <c r="S84" s="4"/>
      <c r="T84" s="4"/>
      <c r="U84" s="4"/>
      <c r="V84" s="8">
        <f t="shared" si="12"/>
        <v>42261.40728</v>
      </c>
      <c r="W84" s="5" t="str">
        <f t="shared" si="7"/>
        <v>nops</v>
      </c>
      <c r="X84" s="67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</row>
    <row r="85" ht="19.5" customHeight="1">
      <c r="A85" s="56" t="s">
        <v>28</v>
      </c>
      <c r="B85" s="57">
        <v>66.0</v>
      </c>
      <c r="C85" s="89">
        <f t="shared" si="8"/>
        <v>83108.30382</v>
      </c>
      <c r="D85" s="89">
        <f t="shared" si="9"/>
        <v>9234.25598</v>
      </c>
      <c r="E85" s="59"/>
      <c r="F85" s="60" t="str">
        <f t="shared" si="1"/>
        <v>-</v>
      </c>
      <c r="G85" s="5" t="str">
        <f t="shared" si="2"/>
        <v>nops</v>
      </c>
      <c r="H85" s="94"/>
      <c r="I85" s="91" t="str">
        <f t="shared" si="10"/>
        <v/>
      </c>
      <c r="J85" s="91" t="str">
        <f t="shared" si="3"/>
        <v/>
      </c>
      <c r="K85" s="68" t="str">
        <f t="shared" si="11"/>
        <v/>
      </c>
      <c r="L85" s="64"/>
      <c r="M85" s="65"/>
      <c r="N85" s="65"/>
      <c r="O85" s="65"/>
      <c r="P85" s="4"/>
      <c r="Q85" s="4"/>
      <c r="R85" s="4"/>
      <c r="S85" s="4"/>
      <c r="T85" s="4"/>
      <c r="U85" s="4"/>
      <c r="V85" s="8">
        <f t="shared" si="12"/>
        <v>47544.08319</v>
      </c>
      <c r="W85" s="5" t="str">
        <f t="shared" si="7"/>
        <v>nops</v>
      </c>
      <c r="X85" s="67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</row>
    <row r="86" ht="19.5" customHeight="1">
      <c r="A86" s="56" t="s">
        <v>28</v>
      </c>
      <c r="B86" s="57">
        <v>67.0</v>
      </c>
      <c r="C86" s="89">
        <f t="shared" si="8"/>
        <v>93496.84179</v>
      </c>
      <c r="D86" s="89">
        <f t="shared" si="9"/>
        <v>10388.53798</v>
      </c>
      <c r="E86" s="59"/>
      <c r="F86" s="60" t="str">
        <f t="shared" si="1"/>
        <v>-</v>
      </c>
      <c r="G86" s="5" t="str">
        <f t="shared" si="2"/>
        <v>nops</v>
      </c>
      <c r="H86" s="94"/>
      <c r="I86" s="91" t="str">
        <f t="shared" si="10"/>
        <v/>
      </c>
      <c r="J86" s="91" t="str">
        <f t="shared" si="3"/>
        <v/>
      </c>
      <c r="K86" s="68" t="str">
        <f t="shared" si="11"/>
        <v/>
      </c>
      <c r="L86" s="64"/>
      <c r="M86" s="65"/>
      <c r="N86" s="65"/>
      <c r="O86" s="65"/>
      <c r="P86" s="4"/>
      <c r="Q86" s="4"/>
      <c r="R86" s="4"/>
      <c r="S86" s="4"/>
      <c r="T86" s="4"/>
      <c r="U86" s="4"/>
      <c r="V86" s="8">
        <f t="shared" si="12"/>
        <v>53487.09359</v>
      </c>
      <c r="W86" s="5" t="str">
        <f t="shared" si="7"/>
        <v>nops</v>
      </c>
      <c r="X86" s="67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</row>
    <row r="87" ht="19.5" customHeight="1">
      <c r="A87" s="56" t="s">
        <v>28</v>
      </c>
      <c r="B87" s="57">
        <v>68.0</v>
      </c>
      <c r="C87" s="89">
        <f t="shared" si="8"/>
        <v>105183.947</v>
      </c>
      <c r="D87" s="89">
        <f t="shared" si="9"/>
        <v>11687.10522</v>
      </c>
      <c r="E87" s="59"/>
      <c r="F87" s="60" t="str">
        <f t="shared" si="1"/>
        <v>-</v>
      </c>
      <c r="G87" s="5" t="str">
        <f t="shared" si="2"/>
        <v>nops</v>
      </c>
      <c r="H87" s="94"/>
      <c r="I87" s="91" t="str">
        <f t="shared" si="10"/>
        <v/>
      </c>
      <c r="J87" s="91" t="str">
        <f t="shared" si="3"/>
        <v/>
      </c>
      <c r="K87" s="68" t="str">
        <f t="shared" si="11"/>
        <v/>
      </c>
      <c r="L87" s="64"/>
      <c r="M87" s="65"/>
      <c r="N87" s="65"/>
      <c r="O87" s="65"/>
      <c r="P87" s="4"/>
      <c r="Q87" s="4"/>
      <c r="R87" s="4"/>
      <c r="S87" s="4"/>
      <c r="T87" s="4"/>
      <c r="U87" s="4"/>
      <c r="V87" s="8">
        <f t="shared" si="12"/>
        <v>60172.98029</v>
      </c>
      <c r="W87" s="5" t="str">
        <f t="shared" si="7"/>
        <v>nops</v>
      </c>
      <c r="X87" s="67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</row>
    <row r="88" ht="19.5" customHeight="1">
      <c r="A88" s="56" t="s">
        <v>28</v>
      </c>
      <c r="B88" s="57">
        <v>69.0</v>
      </c>
      <c r="C88" s="89">
        <f t="shared" si="8"/>
        <v>118331.9404</v>
      </c>
      <c r="D88" s="89">
        <f t="shared" si="9"/>
        <v>13147.99338</v>
      </c>
      <c r="E88" s="59"/>
      <c r="F88" s="60" t="str">
        <f t="shared" si="1"/>
        <v>-</v>
      </c>
      <c r="G88" s="5" t="str">
        <f t="shared" si="2"/>
        <v>nops</v>
      </c>
      <c r="H88" s="94"/>
      <c r="I88" s="91" t="str">
        <f t="shared" si="10"/>
        <v/>
      </c>
      <c r="J88" s="91" t="str">
        <f t="shared" si="3"/>
        <v/>
      </c>
      <c r="K88" s="68" t="str">
        <f t="shared" si="11"/>
        <v/>
      </c>
      <c r="L88" s="64"/>
      <c r="M88" s="65"/>
      <c r="N88" s="65"/>
      <c r="O88" s="65"/>
      <c r="P88" s="4"/>
      <c r="Q88" s="4"/>
      <c r="R88" s="4"/>
      <c r="S88" s="4"/>
      <c r="T88" s="4"/>
      <c r="U88" s="4"/>
      <c r="V88" s="8">
        <f t="shared" si="12"/>
        <v>67694.60283</v>
      </c>
      <c r="W88" s="5" t="str">
        <f t="shared" si="7"/>
        <v>nops</v>
      </c>
      <c r="X88" s="67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</row>
    <row r="89" ht="19.5" customHeight="1">
      <c r="A89" s="56" t="s">
        <v>28</v>
      </c>
      <c r="B89" s="57">
        <v>70.0</v>
      </c>
      <c r="C89" s="89">
        <f t="shared" si="8"/>
        <v>133123.4329</v>
      </c>
      <c r="D89" s="89">
        <f t="shared" si="9"/>
        <v>14791.49255</v>
      </c>
      <c r="E89" s="59"/>
      <c r="F89" s="60" t="str">
        <f t="shared" si="1"/>
        <v>-</v>
      </c>
      <c r="G89" s="5" t="str">
        <f t="shared" si="2"/>
        <v>nops</v>
      </c>
      <c r="H89" s="94"/>
      <c r="I89" s="91" t="str">
        <f t="shared" si="10"/>
        <v/>
      </c>
      <c r="J89" s="91" t="str">
        <f t="shared" si="3"/>
        <v/>
      </c>
      <c r="K89" s="68" t="str">
        <f t="shared" si="11"/>
        <v/>
      </c>
      <c r="L89" s="64"/>
      <c r="M89" s="65"/>
      <c r="N89" s="65"/>
      <c r="O89" s="65"/>
      <c r="P89" s="4"/>
      <c r="Q89" s="4"/>
      <c r="R89" s="4"/>
      <c r="S89" s="4"/>
      <c r="T89" s="4"/>
      <c r="U89" s="4"/>
      <c r="V89" s="8">
        <f t="shared" si="12"/>
        <v>76156.42818</v>
      </c>
      <c r="W89" s="5" t="str">
        <f t="shared" si="7"/>
        <v>nops</v>
      </c>
      <c r="X89" s="67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</row>
    <row r="90" ht="19.5" customHeight="1">
      <c r="A90" s="56" t="s">
        <v>28</v>
      </c>
      <c r="B90" s="57">
        <v>71.0</v>
      </c>
      <c r="C90" s="89">
        <f t="shared" si="8"/>
        <v>149763.8621</v>
      </c>
      <c r="D90" s="89">
        <f t="shared" si="9"/>
        <v>16640.42912</v>
      </c>
      <c r="E90" s="59"/>
      <c r="F90" s="60" t="str">
        <f t="shared" si="1"/>
        <v>-</v>
      </c>
      <c r="G90" s="5" t="str">
        <f t="shared" si="2"/>
        <v>nops</v>
      </c>
      <c r="H90" s="94"/>
      <c r="I90" s="91" t="str">
        <f t="shared" si="10"/>
        <v/>
      </c>
      <c r="J90" s="91" t="str">
        <f t="shared" si="3"/>
        <v/>
      </c>
      <c r="K90" s="68" t="str">
        <f t="shared" si="11"/>
        <v/>
      </c>
      <c r="L90" s="64"/>
      <c r="M90" s="65"/>
      <c r="N90" s="65"/>
      <c r="O90" s="65"/>
      <c r="P90" s="4"/>
      <c r="Q90" s="4"/>
      <c r="R90" s="4"/>
      <c r="S90" s="4"/>
      <c r="T90" s="4"/>
      <c r="U90" s="4"/>
      <c r="V90" s="8">
        <f t="shared" si="12"/>
        <v>85675.98171</v>
      </c>
      <c r="W90" s="5" t="str">
        <f t="shared" si="7"/>
        <v>nops</v>
      </c>
      <c r="X90" s="67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</row>
    <row r="91" ht="19.5" customHeight="1">
      <c r="A91" s="56" t="s">
        <v>28</v>
      </c>
      <c r="B91" s="57">
        <v>72.0</v>
      </c>
      <c r="C91" s="89">
        <f t="shared" si="8"/>
        <v>168484.3448</v>
      </c>
      <c r="D91" s="89">
        <f t="shared" si="9"/>
        <v>18720.48276</v>
      </c>
      <c r="E91" s="59"/>
      <c r="F91" s="60" t="str">
        <f t="shared" si="1"/>
        <v>-</v>
      </c>
      <c r="G91" s="5" t="str">
        <f t="shared" si="2"/>
        <v>nops</v>
      </c>
      <c r="H91" s="94"/>
      <c r="I91" s="91" t="str">
        <f t="shared" si="10"/>
        <v/>
      </c>
      <c r="J91" s="91" t="str">
        <f t="shared" si="3"/>
        <v/>
      </c>
      <c r="K91" s="68" t="str">
        <f t="shared" si="11"/>
        <v/>
      </c>
      <c r="L91" s="64"/>
      <c r="M91" s="65"/>
      <c r="N91" s="65"/>
      <c r="O91" s="65"/>
      <c r="P91" s="4"/>
      <c r="Q91" s="4"/>
      <c r="R91" s="4"/>
      <c r="S91" s="4"/>
      <c r="T91" s="4"/>
      <c r="U91" s="4"/>
      <c r="V91" s="8">
        <f t="shared" si="12"/>
        <v>96385.47942</v>
      </c>
      <c r="W91" s="5" t="str">
        <f t="shared" si="7"/>
        <v>nops</v>
      </c>
      <c r="X91" s="67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</row>
    <row r="92" ht="19.5" customHeight="1">
      <c r="A92" s="56" t="s">
        <v>28</v>
      </c>
      <c r="B92" s="57">
        <v>73.0</v>
      </c>
      <c r="C92" s="89">
        <f t="shared" si="8"/>
        <v>189544.8879</v>
      </c>
      <c r="D92" s="89">
        <f t="shared" si="9"/>
        <v>21060.5431</v>
      </c>
      <c r="E92" s="59"/>
      <c r="F92" s="60" t="str">
        <f t="shared" si="1"/>
        <v>-</v>
      </c>
      <c r="G92" s="5" t="str">
        <f t="shared" si="2"/>
        <v>nops</v>
      </c>
      <c r="H92" s="94"/>
      <c r="I92" s="91" t="str">
        <f t="shared" si="10"/>
        <v/>
      </c>
      <c r="J92" s="91" t="str">
        <f t="shared" si="3"/>
        <v/>
      </c>
      <c r="K92" s="68" t="str">
        <f t="shared" si="11"/>
        <v/>
      </c>
      <c r="L92" s="64"/>
      <c r="M92" s="65"/>
      <c r="N92" s="65"/>
      <c r="O92" s="65"/>
      <c r="P92" s="4"/>
      <c r="Q92" s="4"/>
      <c r="R92" s="4"/>
      <c r="S92" s="4"/>
      <c r="T92" s="4"/>
      <c r="U92" s="4"/>
      <c r="V92" s="8">
        <f t="shared" si="12"/>
        <v>108433.6643</v>
      </c>
      <c r="W92" s="5" t="str">
        <f t="shared" si="7"/>
        <v>nops</v>
      </c>
      <c r="X92" s="67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</row>
    <row r="93" ht="19.5" customHeight="1">
      <c r="A93" s="56" t="s">
        <v>28</v>
      </c>
      <c r="B93" s="57">
        <v>74.0</v>
      </c>
      <c r="C93" s="89">
        <f t="shared" si="8"/>
        <v>213237.9989</v>
      </c>
      <c r="D93" s="89">
        <f t="shared" si="9"/>
        <v>23693.11099</v>
      </c>
      <c r="E93" s="59"/>
      <c r="F93" s="60" t="str">
        <f t="shared" si="1"/>
        <v>-</v>
      </c>
      <c r="G93" s="5" t="str">
        <f t="shared" si="2"/>
        <v>nops</v>
      </c>
      <c r="H93" s="94"/>
      <c r="I93" s="91" t="str">
        <f t="shared" si="10"/>
        <v/>
      </c>
      <c r="J93" s="91" t="str">
        <f t="shared" si="3"/>
        <v/>
      </c>
      <c r="K93" s="68" t="str">
        <f t="shared" si="11"/>
        <v/>
      </c>
      <c r="L93" s="64"/>
      <c r="M93" s="65"/>
      <c r="N93" s="65"/>
      <c r="O93" s="65"/>
      <c r="P93" s="4"/>
      <c r="Q93" s="4"/>
      <c r="R93" s="4"/>
      <c r="S93" s="4"/>
      <c r="T93" s="4"/>
      <c r="U93" s="4"/>
      <c r="V93" s="8">
        <f t="shared" si="12"/>
        <v>121987.8724</v>
      </c>
      <c r="W93" s="5" t="str">
        <f t="shared" si="7"/>
        <v>nops</v>
      </c>
      <c r="X93" s="67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</row>
    <row r="94" ht="19.5" customHeight="1">
      <c r="A94" s="56" t="s">
        <v>28</v>
      </c>
      <c r="B94" s="57">
        <v>75.0</v>
      </c>
      <c r="C94" s="89">
        <f t="shared" si="8"/>
        <v>239892.7488</v>
      </c>
      <c r="D94" s="89">
        <f t="shared" si="9"/>
        <v>26654.74986</v>
      </c>
      <c r="E94" s="59"/>
      <c r="F94" s="60" t="str">
        <f t="shared" si="1"/>
        <v>-</v>
      </c>
      <c r="G94" s="5" t="str">
        <f t="shared" si="2"/>
        <v>nops</v>
      </c>
      <c r="H94" s="94"/>
      <c r="I94" s="91" t="str">
        <f t="shared" si="10"/>
        <v/>
      </c>
      <c r="J94" s="91" t="str">
        <f t="shared" si="3"/>
        <v/>
      </c>
      <c r="K94" s="68" t="str">
        <f t="shared" si="11"/>
        <v/>
      </c>
      <c r="L94" s="64"/>
      <c r="M94" s="65"/>
      <c r="N94" s="65"/>
      <c r="O94" s="65"/>
      <c r="P94" s="4"/>
      <c r="Q94" s="4"/>
      <c r="R94" s="4"/>
      <c r="S94" s="4"/>
      <c r="T94" s="4"/>
      <c r="U94" s="4"/>
      <c r="V94" s="8">
        <f t="shared" si="12"/>
        <v>137236.3564</v>
      </c>
      <c r="W94" s="5" t="str">
        <f t="shared" si="7"/>
        <v>nops</v>
      </c>
      <c r="X94" s="67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</row>
    <row r="95" ht="19.5" customHeight="1">
      <c r="A95" s="56" t="s">
        <v>28</v>
      </c>
      <c r="B95" s="57">
        <v>76.0</v>
      </c>
      <c r="C95" s="89">
        <f t="shared" si="8"/>
        <v>269879.3424</v>
      </c>
      <c r="D95" s="89">
        <f t="shared" si="9"/>
        <v>29986.5936</v>
      </c>
      <c r="E95" s="59"/>
      <c r="F95" s="60" t="str">
        <f t="shared" si="1"/>
        <v>-</v>
      </c>
      <c r="G95" s="5" t="str">
        <f t="shared" si="2"/>
        <v>nops</v>
      </c>
      <c r="H95" s="94"/>
      <c r="I95" s="91" t="str">
        <f t="shared" si="10"/>
        <v/>
      </c>
      <c r="J95" s="91" t="str">
        <f t="shared" si="3"/>
        <v/>
      </c>
      <c r="K95" s="68" t="str">
        <f t="shared" si="11"/>
        <v/>
      </c>
      <c r="L95" s="64"/>
      <c r="M95" s="65"/>
      <c r="N95" s="65"/>
      <c r="O95" s="65"/>
      <c r="P95" s="4"/>
      <c r="Q95" s="4"/>
      <c r="R95" s="4"/>
      <c r="S95" s="4"/>
      <c r="T95" s="4"/>
      <c r="U95" s="4"/>
      <c r="V95" s="8">
        <f t="shared" si="12"/>
        <v>154390.901</v>
      </c>
      <c r="W95" s="5" t="str">
        <f t="shared" si="7"/>
        <v>nops</v>
      </c>
      <c r="X95" s="67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</row>
    <row r="96" ht="19.5" customHeight="1">
      <c r="A96" s="56" t="s">
        <v>28</v>
      </c>
      <c r="B96" s="57">
        <v>77.0</v>
      </c>
      <c r="C96" s="89">
        <f t="shared" si="8"/>
        <v>303614.2602</v>
      </c>
      <c r="D96" s="89">
        <f t="shared" si="9"/>
        <v>33734.9178</v>
      </c>
      <c r="E96" s="59"/>
      <c r="F96" s="60" t="str">
        <f t="shared" si="1"/>
        <v>-</v>
      </c>
      <c r="G96" s="5" t="str">
        <f t="shared" si="2"/>
        <v>nops</v>
      </c>
      <c r="H96" s="94"/>
      <c r="I96" s="91" t="str">
        <f t="shared" si="10"/>
        <v/>
      </c>
      <c r="J96" s="91" t="str">
        <f t="shared" si="3"/>
        <v/>
      </c>
      <c r="K96" s="68" t="str">
        <f t="shared" si="11"/>
        <v/>
      </c>
      <c r="L96" s="64"/>
      <c r="M96" s="65"/>
      <c r="N96" s="65"/>
      <c r="O96" s="65"/>
      <c r="P96" s="4"/>
      <c r="Q96" s="4"/>
      <c r="R96" s="4"/>
      <c r="S96" s="4"/>
      <c r="T96" s="4"/>
      <c r="U96" s="4"/>
      <c r="V96" s="8">
        <f t="shared" si="12"/>
        <v>173689.7636</v>
      </c>
      <c r="W96" s="5" t="str">
        <f t="shared" si="7"/>
        <v>nops</v>
      </c>
      <c r="X96" s="67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</row>
    <row r="97" ht="19.5" customHeight="1">
      <c r="A97" s="56" t="s">
        <v>28</v>
      </c>
      <c r="B97" s="57">
        <v>78.0</v>
      </c>
      <c r="C97" s="89">
        <f t="shared" si="8"/>
        <v>341566.0427</v>
      </c>
      <c r="D97" s="89">
        <f t="shared" si="9"/>
        <v>37951.78252</v>
      </c>
      <c r="E97" s="59"/>
      <c r="F97" s="60" t="str">
        <f t="shared" si="1"/>
        <v>-</v>
      </c>
      <c r="G97" s="5" t="str">
        <f t="shared" si="2"/>
        <v>nops</v>
      </c>
      <c r="H97" s="94"/>
      <c r="I97" s="91" t="str">
        <f t="shared" si="10"/>
        <v/>
      </c>
      <c r="J97" s="91" t="str">
        <f t="shared" si="3"/>
        <v/>
      </c>
      <c r="K97" s="68" t="str">
        <f t="shared" si="11"/>
        <v/>
      </c>
      <c r="L97" s="64"/>
      <c r="M97" s="65"/>
      <c r="N97" s="65"/>
      <c r="O97" s="65"/>
      <c r="P97" s="4"/>
      <c r="Q97" s="4"/>
      <c r="R97" s="4"/>
      <c r="S97" s="4"/>
      <c r="T97" s="4"/>
      <c r="U97" s="4"/>
      <c r="V97" s="8">
        <f t="shared" si="12"/>
        <v>195400.9841</v>
      </c>
      <c r="W97" s="5" t="str">
        <f t="shared" si="7"/>
        <v>nops</v>
      </c>
      <c r="X97" s="67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</row>
    <row r="98" ht="19.5" customHeight="1">
      <c r="A98" s="56" t="s">
        <v>28</v>
      </c>
      <c r="B98" s="57">
        <v>79.0</v>
      </c>
      <c r="C98" s="89">
        <f t="shared" si="8"/>
        <v>384261.798</v>
      </c>
      <c r="D98" s="89">
        <f t="shared" si="9"/>
        <v>42695.75534</v>
      </c>
      <c r="E98" s="59"/>
      <c r="F98" s="60" t="str">
        <f t="shared" si="1"/>
        <v>-</v>
      </c>
      <c r="G98" s="5" t="str">
        <f t="shared" si="2"/>
        <v>nops</v>
      </c>
      <c r="H98" s="94"/>
      <c r="I98" s="91" t="str">
        <f t="shared" si="10"/>
        <v/>
      </c>
      <c r="J98" s="91" t="str">
        <f t="shared" si="3"/>
        <v/>
      </c>
      <c r="K98" s="68" t="str">
        <f t="shared" si="11"/>
        <v/>
      </c>
      <c r="L98" s="64"/>
      <c r="M98" s="65"/>
      <c r="N98" s="65"/>
      <c r="O98" s="65"/>
      <c r="P98" s="4"/>
      <c r="Q98" s="4"/>
      <c r="R98" s="4"/>
      <c r="S98" s="4"/>
      <c r="T98" s="4"/>
      <c r="U98" s="4"/>
      <c r="V98" s="8">
        <f t="shared" si="12"/>
        <v>219826.1071</v>
      </c>
      <c r="W98" s="5" t="str">
        <f t="shared" si="7"/>
        <v>nops</v>
      </c>
      <c r="X98" s="67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</row>
    <row r="99" ht="19.5" customHeight="1">
      <c r="A99" s="56" t="s">
        <v>28</v>
      </c>
      <c r="B99" s="57">
        <v>80.0</v>
      </c>
      <c r="C99" s="89">
        <f t="shared" si="8"/>
        <v>432294.5228</v>
      </c>
      <c r="D99" s="89">
        <f t="shared" si="9"/>
        <v>48032.72475</v>
      </c>
      <c r="E99" s="59"/>
      <c r="F99" s="60" t="str">
        <f t="shared" si="1"/>
        <v>-</v>
      </c>
      <c r="G99" s="5" t="str">
        <f t="shared" si="2"/>
        <v>nops</v>
      </c>
      <c r="H99" s="94"/>
      <c r="I99" s="91" t="str">
        <f t="shared" si="10"/>
        <v/>
      </c>
      <c r="J99" s="91" t="str">
        <f t="shared" si="3"/>
        <v/>
      </c>
      <c r="K99" s="68" t="str">
        <f t="shared" si="11"/>
        <v/>
      </c>
      <c r="L99" s="64"/>
      <c r="M99" s="65"/>
      <c r="N99" s="65"/>
      <c r="O99" s="65"/>
      <c r="P99" s="4"/>
      <c r="Q99" s="4"/>
      <c r="R99" s="4"/>
      <c r="S99" s="4"/>
      <c r="T99" s="4"/>
      <c r="U99" s="4"/>
      <c r="V99" s="8">
        <f t="shared" si="12"/>
        <v>247304.3705</v>
      </c>
      <c r="W99" s="5" t="str">
        <f t="shared" si="7"/>
        <v>nops</v>
      </c>
      <c r="X99" s="67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</row>
    <row r="100" ht="19.5" customHeight="1">
      <c r="A100" s="56" t="s">
        <v>28</v>
      </c>
      <c r="B100" s="57">
        <v>81.0</v>
      </c>
      <c r="C100" s="89">
        <f t="shared" si="8"/>
        <v>486331.3381</v>
      </c>
      <c r="D100" s="89">
        <f t="shared" si="9"/>
        <v>54036.81535</v>
      </c>
      <c r="E100" s="59"/>
      <c r="F100" s="60" t="str">
        <f t="shared" si="1"/>
        <v>-</v>
      </c>
      <c r="G100" s="5" t="str">
        <f t="shared" si="2"/>
        <v>nops</v>
      </c>
      <c r="H100" s="94"/>
      <c r="I100" s="91" t="str">
        <f t="shared" si="10"/>
        <v/>
      </c>
      <c r="J100" s="91" t="str">
        <f t="shared" si="3"/>
        <v/>
      </c>
      <c r="K100" s="68" t="str">
        <f t="shared" si="11"/>
        <v/>
      </c>
      <c r="L100" s="64"/>
      <c r="M100" s="65"/>
      <c r="N100" s="65"/>
      <c r="O100" s="65"/>
      <c r="P100" s="4"/>
      <c r="Q100" s="4"/>
      <c r="R100" s="4"/>
      <c r="S100" s="4"/>
      <c r="T100" s="4"/>
      <c r="U100" s="4"/>
      <c r="V100" s="8">
        <f t="shared" si="12"/>
        <v>278217.4168</v>
      </c>
      <c r="W100" s="5" t="str">
        <f t="shared" si="7"/>
        <v>nops</v>
      </c>
      <c r="X100" s="67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</row>
    <row r="101" ht="19.5" customHeight="1">
      <c r="A101" s="56" t="s">
        <v>28</v>
      </c>
      <c r="B101" s="57">
        <v>82.0</v>
      </c>
      <c r="C101" s="89">
        <f t="shared" si="8"/>
        <v>547122.7554</v>
      </c>
      <c r="D101" s="89">
        <f t="shared" si="9"/>
        <v>60791.41727</v>
      </c>
      <c r="E101" s="59"/>
      <c r="F101" s="60" t="str">
        <f t="shared" si="1"/>
        <v>-</v>
      </c>
      <c r="G101" s="5" t="str">
        <f t="shared" si="2"/>
        <v>nops</v>
      </c>
      <c r="H101" s="94"/>
      <c r="I101" s="91" t="str">
        <f t="shared" si="10"/>
        <v/>
      </c>
      <c r="J101" s="91" t="str">
        <f t="shared" si="3"/>
        <v/>
      </c>
      <c r="K101" s="68" t="str">
        <f t="shared" si="11"/>
        <v/>
      </c>
      <c r="L101" s="64"/>
      <c r="M101" s="65"/>
      <c r="N101" s="65"/>
      <c r="O101" s="65"/>
      <c r="P101" s="4"/>
      <c r="Q101" s="4"/>
      <c r="R101" s="4"/>
      <c r="S101" s="4"/>
      <c r="T101" s="4"/>
      <c r="U101" s="4"/>
      <c r="V101" s="8">
        <f t="shared" si="12"/>
        <v>312994.5939</v>
      </c>
      <c r="W101" s="5" t="str">
        <f t="shared" si="7"/>
        <v>nops</v>
      </c>
      <c r="X101" s="67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</row>
    <row r="102" ht="19.5" customHeight="1">
      <c r="A102" s="56" t="s">
        <v>28</v>
      </c>
      <c r="B102" s="57">
        <v>83.0</v>
      </c>
      <c r="C102" s="89">
        <f t="shared" si="8"/>
        <v>615513.0998</v>
      </c>
      <c r="D102" s="89">
        <f t="shared" si="9"/>
        <v>68390.34442</v>
      </c>
      <c r="E102" s="59"/>
      <c r="F102" s="60" t="str">
        <f t="shared" si="1"/>
        <v>-</v>
      </c>
      <c r="G102" s="5" t="str">
        <f t="shared" si="2"/>
        <v>nops</v>
      </c>
      <c r="H102" s="94"/>
      <c r="I102" s="91" t="str">
        <f t="shared" si="10"/>
        <v/>
      </c>
      <c r="J102" s="91" t="str">
        <f t="shared" si="3"/>
        <v/>
      </c>
      <c r="K102" s="68" t="str">
        <f t="shared" si="11"/>
        <v/>
      </c>
      <c r="L102" s="64"/>
      <c r="M102" s="65"/>
      <c r="N102" s="65"/>
      <c r="O102" s="65"/>
      <c r="P102" s="4"/>
      <c r="Q102" s="4"/>
      <c r="R102" s="4"/>
      <c r="S102" s="4"/>
      <c r="T102" s="4"/>
      <c r="U102" s="4"/>
      <c r="V102" s="8">
        <f t="shared" si="12"/>
        <v>352118.9181</v>
      </c>
      <c r="W102" s="5" t="str">
        <f t="shared" si="7"/>
        <v>nops</v>
      </c>
      <c r="X102" s="67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</row>
    <row r="103" ht="19.5" customHeight="1">
      <c r="A103" s="56" t="s">
        <v>28</v>
      </c>
      <c r="B103" s="57">
        <v>84.0</v>
      </c>
      <c r="C103" s="89">
        <f t="shared" si="8"/>
        <v>692452.2373</v>
      </c>
      <c r="D103" s="89">
        <f t="shared" si="9"/>
        <v>76939.13748</v>
      </c>
      <c r="E103" s="59"/>
      <c r="F103" s="60" t="str">
        <f t="shared" si="1"/>
        <v>-</v>
      </c>
      <c r="G103" s="5" t="str">
        <f t="shared" si="2"/>
        <v>nops</v>
      </c>
      <c r="H103" s="94"/>
      <c r="I103" s="91" t="str">
        <f t="shared" si="10"/>
        <v/>
      </c>
      <c r="J103" s="91" t="str">
        <f t="shared" si="3"/>
        <v/>
      </c>
      <c r="K103" s="68" t="str">
        <f t="shared" si="11"/>
        <v/>
      </c>
      <c r="L103" s="64"/>
      <c r="M103" s="65"/>
      <c r="N103" s="65"/>
      <c r="O103" s="65"/>
      <c r="P103" s="4"/>
      <c r="Q103" s="4"/>
      <c r="R103" s="4"/>
      <c r="S103" s="4"/>
      <c r="T103" s="4"/>
      <c r="U103" s="4"/>
      <c r="V103" s="8">
        <f t="shared" si="12"/>
        <v>396133.7829</v>
      </c>
      <c r="W103" s="5" t="str">
        <f t="shared" si="7"/>
        <v>nops</v>
      </c>
      <c r="X103" s="67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</row>
    <row r="104" ht="19.5" customHeight="1">
      <c r="A104" s="56" t="s">
        <v>28</v>
      </c>
      <c r="B104" s="57">
        <v>85.0</v>
      </c>
      <c r="C104" s="89">
        <f t="shared" si="8"/>
        <v>779008.767</v>
      </c>
      <c r="D104" s="89">
        <f t="shared" si="9"/>
        <v>86556.52966</v>
      </c>
      <c r="E104" s="59"/>
      <c r="F104" s="60" t="str">
        <f t="shared" si="1"/>
        <v>-</v>
      </c>
      <c r="G104" s="5" t="str">
        <f t="shared" si="2"/>
        <v>nops</v>
      </c>
      <c r="H104" s="94"/>
      <c r="I104" s="91" t="str">
        <f t="shared" si="10"/>
        <v/>
      </c>
      <c r="J104" s="91" t="str">
        <f t="shared" si="3"/>
        <v/>
      </c>
      <c r="K104" s="68" t="str">
        <f t="shared" si="11"/>
        <v/>
      </c>
      <c r="L104" s="64"/>
      <c r="M104" s="65"/>
      <c r="N104" s="65"/>
      <c r="O104" s="65"/>
      <c r="P104" s="4"/>
      <c r="Q104" s="4"/>
      <c r="R104" s="4"/>
      <c r="S104" s="4"/>
      <c r="T104" s="4"/>
      <c r="U104" s="4"/>
      <c r="V104" s="8">
        <f t="shared" si="12"/>
        <v>445650.5057</v>
      </c>
      <c r="W104" s="5" t="str">
        <f t="shared" si="7"/>
        <v>nops</v>
      </c>
      <c r="X104" s="67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</row>
    <row r="105" ht="19.5" customHeight="1">
      <c r="A105" s="56" t="s">
        <v>28</v>
      </c>
      <c r="B105" s="57">
        <v>86.0</v>
      </c>
      <c r="C105" s="89">
        <f t="shared" si="8"/>
        <v>876384.8628</v>
      </c>
      <c r="D105" s="89">
        <f t="shared" si="9"/>
        <v>97376.09587</v>
      </c>
      <c r="E105" s="59"/>
      <c r="F105" s="60" t="str">
        <f t="shared" si="1"/>
        <v>-</v>
      </c>
      <c r="G105" s="5" t="str">
        <f t="shared" si="2"/>
        <v>nops</v>
      </c>
      <c r="H105" s="94"/>
      <c r="I105" s="91" t="str">
        <f t="shared" si="10"/>
        <v/>
      </c>
      <c r="J105" s="91" t="str">
        <f t="shared" si="3"/>
        <v/>
      </c>
      <c r="K105" s="68" t="str">
        <f t="shared" si="11"/>
        <v/>
      </c>
      <c r="L105" s="64"/>
      <c r="M105" s="65"/>
      <c r="N105" s="65"/>
      <c r="O105" s="65"/>
      <c r="P105" s="4"/>
      <c r="Q105" s="4"/>
      <c r="R105" s="4"/>
      <c r="S105" s="4"/>
      <c r="T105" s="4"/>
      <c r="U105" s="4"/>
      <c r="V105" s="8">
        <f t="shared" si="12"/>
        <v>501356.8189</v>
      </c>
      <c r="W105" s="5" t="str">
        <f t="shared" si="7"/>
        <v>nops</v>
      </c>
      <c r="X105" s="67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</row>
    <row r="106" ht="19.5" customHeight="1">
      <c r="A106" s="56" t="s">
        <v>28</v>
      </c>
      <c r="B106" s="57">
        <v>87.0</v>
      </c>
      <c r="C106" s="89">
        <f t="shared" si="8"/>
        <v>985932.9707</v>
      </c>
      <c r="D106" s="89">
        <f t="shared" si="9"/>
        <v>109548.1079</v>
      </c>
      <c r="E106" s="59"/>
      <c r="F106" s="60" t="str">
        <f t="shared" si="1"/>
        <v>-</v>
      </c>
      <c r="G106" s="5" t="str">
        <f t="shared" si="2"/>
        <v>nops</v>
      </c>
      <c r="H106" s="94"/>
      <c r="I106" s="91" t="str">
        <f t="shared" si="10"/>
        <v/>
      </c>
      <c r="J106" s="91" t="str">
        <f t="shared" si="3"/>
        <v/>
      </c>
      <c r="K106" s="68" t="str">
        <f t="shared" si="11"/>
        <v/>
      </c>
      <c r="L106" s="64"/>
      <c r="M106" s="65"/>
      <c r="N106" s="65"/>
      <c r="O106" s="65"/>
      <c r="P106" s="4"/>
      <c r="Q106" s="4"/>
      <c r="R106" s="4"/>
      <c r="S106" s="4"/>
      <c r="T106" s="4"/>
      <c r="U106" s="4"/>
      <c r="V106" s="8">
        <f t="shared" si="12"/>
        <v>564026.4213</v>
      </c>
      <c r="W106" s="5" t="str">
        <f t="shared" si="7"/>
        <v>nops</v>
      </c>
      <c r="X106" s="67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</row>
    <row r="107" ht="19.5" customHeight="1">
      <c r="A107" s="56" t="s">
        <v>28</v>
      </c>
      <c r="B107" s="57">
        <v>88.0</v>
      </c>
      <c r="C107" s="89">
        <f t="shared" si="8"/>
        <v>1109174.592</v>
      </c>
      <c r="D107" s="89">
        <f t="shared" si="9"/>
        <v>123241.6213</v>
      </c>
      <c r="E107" s="59"/>
      <c r="F107" s="60" t="str">
        <f t="shared" si="1"/>
        <v>-</v>
      </c>
      <c r="G107" s="5" t="str">
        <f t="shared" si="2"/>
        <v>nops</v>
      </c>
      <c r="H107" s="94"/>
      <c r="I107" s="91" t="str">
        <f t="shared" si="10"/>
        <v/>
      </c>
      <c r="J107" s="91" t="str">
        <f t="shared" si="3"/>
        <v/>
      </c>
      <c r="K107" s="68" t="str">
        <f t="shared" si="11"/>
        <v/>
      </c>
      <c r="L107" s="64"/>
      <c r="M107" s="65"/>
      <c r="N107" s="65"/>
      <c r="O107" s="65"/>
      <c r="P107" s="4"/>
      <c r="Q107" s="4"/>
      <c r="R107" s="4"/>
      <c r="S107" s="4"/>
      <c r="T107" s="4"/>
      <c r="U107" s="4"/>
      <c r="V107" s="8">
        <f t="shared" si="12"/>
        <v>634529.724</v>
      </c>
      <c r="W107" s="5" t="str">
        <f t="shared" si="7"/>
        <v>nops</v>
      </c>
      <c r="X107" s="67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</row>
    <row r="108" ht="19.5" customHeight="1">
      <c r="A108" s="56" t="s">
        <v>28</v>
      </c>
      <c r="B108" s="57">
        <v>89.0</v>
      </c>
      <c r="C108" s="89">
        <f t="shared" si="8"/>
        <v>1247821.416</v>
      </c>
      <c r="D108" s="89">
        <f t="shared" si="9"/>
        <v>138646.824</v>
      </c>
      <c r="E108" s="59"/>
      <c r="F108" s="60" t="str">
        <f t="shared" si="1"/>
        <v>-</v>
      </c>
      <c r="G108" s="5" t="str">
        <f t="shared" si="2"/>
        <v>nops</v>
      </c>
      <c r="H108" s="94"/>
      <c r="I108" s="91" t="str">
        <f t="shared" si="10"/>
        <v/>
      </c>
      <c r="J108" s="91" t="str">
        <f t="shared" si="3"/>
        <v/>
      </c>
      <c r="K108" s="68" t="str">
        <f t="shared" si="11"/>
        <v/>
      </c>
      <c r="L108" s="64"/>
      <c r="M108" s="65"/>
      <c r="N108" s="65"/>
      <c r="O108" s="65"/>
      <c r="P108" s="4"/>
      <c r="Q108" s="4"/>
      <c r="R108" s="4"/>
      <c r="S108" s="4"/>
      <c r="T108" s="4"/>
      <c r="U108" s="4"/>
      <c r="V108" s="8">
        <f t="shared" si="12"/>
        <v>713845.9395</v>
      </c>
      <c r="W108" s="5" t="str">
        <f t="shared" si="7"/>
        <v>nops</v>
      </c>
      <c r="X108" s="67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</row>
    <row r="109" ht="19.5" customHeight="1">
      <c r="A109" s="56" t="s">
        <v>28</v>
      </c>
      <c r="B109" s="57">
        <v>90.0</v>
      </c>
      <c r="C109" s="89">
        <f t="shared" si="8"/>
        <v>1403799.093</v>
      </c>
      <c r="D109" s="89">
        <f t="shared" si="9"/>
        <v>155977.677</v>
      </c>
      <c r="E109" s="59"/>
      <c r="F109" s="60" t="str">
        <f t="shared" si="1"/>
        <v>-</v>
      </c>
      <c r="G109" s="5" t="str">
        <f t="shared" si="2"/>
        <v>nops</v>
      </c>
      <c r="H109" s="94"/>
      <c r="I109" s="91" t="str">
        <f t="shared" si="10"/>
        <v/>
      </c>
      <c r="J109" s="91" t="str">
        <f t="shared" si="3"/>
        <v/>
      </c>
      <c r="K109" s="68" t="str">
        <f t="shared" si="11"/>
        <v/>
      </c>
      <c r="L109" s="64"/>
      <c r="M109" s="65"/>
      <c r="N109" s="65"/>
      <c r="O109" s="65"/>
      <c r="P109" s="4"/>
      <c r="Q109" s="4"/>
      <c r="R109" s="4"/>
      <c r="S109" s="4"/>
      <c r="T109" s="4"/>
      <c r="U109" s="4"/>
      <c r="V109" s="8">
        <f t="shared" si="12"/>
        <v>803076.6819</v>
      </c>
      <c r="W109" s="5" t="str">
        <f t="shared" si="7"/>
        <v>nops</v>
      </c>
      <c r="X109" s="67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</row>
    <row r="110" ht="19.5" customHeight="1">
      <c r="A110" s="56" t="s">
        <v>28</v>
      </c>
      <c r="B110" s="57">
        <v>91.0</v>
      </c>
      <c r="C110" s="89">
        <f t="shared" si="8"/>
        <v>1579273.98</v>
      </c>
      <c r="D110" s="89">
        <f t="shared" si="9"/>
        <v>175474.8866</v>
      </c>
      <c r="E110" s="59"/>
      <c r="F110" s="60" t="str">
        <f t="shared" si="1"/>
        <v>-</v>
      </c>
      <c r="G110" s="5" t="str">
        <f t="shared" si="2"/>
        <v>nops</v>
      </c>
      <c r="H110" s="94"/>
      <c r="I110" s="91" t="str">
        <f t="shared" si="10"/>
        <v/>
      </c>
      <c r="J110" s="91" t="str">
        <f t="shared" si="3"/>
        <v/>
      </c>
      <c r="K110" s="68" t="str">
        <f t="shared" si="11"/>
        <v/>
      </c>
      <c r="L110" s="64"/>
      <c r="M110" s="65"/>
      <c r="N110" s="65"/>
      <c r="O110" s="65"/>
      <c r="P110" s="4"/>
      <c r="Q110" s="4"/>
      <c r="R110" s="4"/>
      <c r="S110" s="4"/>
      <c r="T110" s="4"/>
      <c r="U110" s="4"/>
      <c r="V110" s="8">
        <f t="shared" si="12"/>
        <v>903461.2671</v>
      </c>
      <c r="W110" s="5" t="str">
        <f t="shared" si="7"/>
        <v>nops</v>
      </c>
      <c r="X110" s="67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</row>
    <row r="111" ht="19.5" customHeight="1">
      <c r="A111" s="56" t="s">
        <v>28</v>
      </c>
      <c r="B111" s="57">
        <v>92.0</v>
      </c>
      <c r="C111" s="89">
        <f t="shared" si="8"/>
        <v>1776683.227</v>
      </c>
      <c r="D111" s="89">
        <f t="shared" si="9"/>
        <v>197409.2475</v>
      </c>
      <c r="E111" s="59"/>
      <c r="F111" s="60" t="str">
        <f t="shared" si="1"/>
        <v>-</v>
      </c>
      <c r="G111" s="5" t="str">
        <f t="shared" si="2"/>
        <v>nops</v>
      </c>
      <c r="H111" s="94"/>
      <c r="I111" s="91" t="str">
        <f t="shared" si="10"/>
        <v/>
      </c>
      <c r="J111" s="91" t="str">
        <f t="shared" si="3"/>
        <v/>
      </c>
      <c r="K111" s="68" t="str">
        <f t="shared" si="11"/>
        <v/>
      </c>
      <c r="L111" s="64"/>
      <c r="M111" s="65"/>
      <c r="N111" s="65"/>
      <c r="O111" s="65"/>
      <c r="P111" s="4"/>
      <c r="Q111" s="4"/>
      <c r="R111" s="4"/>
      <c r="S111" s="4"/>
      <c r="T111" s="4"/>
      <c r="U111" s="4"/>
      <c r="V111" s="8">
        <f t="shared" si="12"/>
        <v>1016393.926</v>
      </c>
      <c r="W111" s="5" t="str">
        <f t="shared" si="7"/>
        <v>nops</v>
      </c>
      <c r="X111" s="67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</row>
    <row r="112" ht="19.5" customHeight="1">
      <c r="A112" s="56" t="s">
        <v>28</v>
      </c>
      <c r="B112" s="57">
        <v>93.0</v>
      </c>
      <c r="C112" s="89">
        <f t="shared" si="8"/>
        <v>1998768.63</v>
      </c>
      <c r="D112" s="89">
        <f t="shared" si="9"/>
        <v>222085.4034</v>
      </c>
      <c r="E112" s="59"/>
      <c r="F112" s="60" t="str">
        <f t="shared" si="1"/>
        <v>-</v>
      </c>
      <c r="G112" s="5" t="str">
        <f t="shared" si="2"/>
        <v>nops</v>
      </c>
      <c r="H112" s="94"/>
      <c r="I112" s="91" t="str">
        <f t="shared" si="10"/>
        <v/>
      </c>
      <c r="J112" s="91" t="str">
        <f t="shared" si="3"/>
        <v/>
      </c>
      <c r="K112" s="68" t="str">
        <f t="shared" si="11"/>
        <v/>
      </c>
      <c r="L112" s="64"/>
      <c r="M112" s="65"/>
      <c r="N112" s="65"/>
      <c r="O112" s="65"/>
      <c r="P112" s="4"/>
      <c r="Q112" s="4"/>
      <c r="R112" s="4"/>
      <c r="S112" s="4"/>
      <c r="T112" s="4"/>
      <c r="U112" s="4"/>
      <c r="V112" s="8">
        <f t="shared" si="12"/>
        <v>1143443.166</v>
      </c>
      <c r="W112" s="5" t="str">
        <f t="shared" si="7"/>
        <v>nops</v>
      </c>
      <c r="X112" s="67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</row>
    <row r="113" ht="19.5" customHeight="1">
      <c r="A113" s="56" t="s">
        <v>28</v>
      </c>
      <c r="B113" s="57">
        <v>94.0</v>
      </c>
      <c r="C113" s="89">
        <f t="shared" si="8"/>
        <v>2248614.709</v>
      </c>
      <c r="D113" s="89">
        <f t="shared" si="9"/>
        <v>249846.0788</v>
      </c>
      <c r="E113" s="59"/>
      <c r="F113" s="60" t="str">
        <f t="shared" si="1"/>
        <v>-</v>
      </c>
      <c r="G113" s="5" t="str">
        <f t="shared" si="2"/>
        <v>nops</v>
      </c>
      <c r="H113" s="94"/>
      <c r="I113" s="91" t="str">
        <f t="shared" si="10"/>
        <v/>
      </c>
      <c r="J113" s="91" t="str">
        <f t="shared" si="3"/>
        <v/>
      </c>
      <c r="K113" s="68" t="str">
        <f t="shared" si="11"/>
        <v/>
      </c>
      <c r="L113" s="64"/>
      <c r="M113" s="65"/>
      <c r="N113" s="65"/>
      <c r="O113" s="65"/>
      <c r="P113" s="4"/>
      <c r="Q113" s="4"/>
      <c r="R113" s="4"/>
      <c r="S113" s="4"/>
      <c r="T113" s="4"/>
      <c r="U113" s="4"/>
      <c r="V113" s="8">
        <f t="shared" si="12"/>
        <v>1286373.562</v>
      </c>
      <c r="W113" s="5" t="str">
        <f t="shared" si="7"/>
        <v>nops</v>
      </c>
      <c r="X113" s="67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</row>
    <row r="114" ht="19.5" customHeight="1">
      <c r="A114" s="56" t="s">
        <v>28</v>
      </c>
      <c r="B114" s="57">
        <v>95.0</v>
      </c>
      <c r="C114" s="89">
        <f t="shared" si="8"/>
        <v>2529691.548</v>
      </c>
      <c r="D114" s="89">
        <f t="shared" si="9"/>
        <v>281076.8387</v>
      </c>
      <c r="E114" s="59"/>
      <c r="F114" s="60" t="str">
        <f t="shared" si="1"/>
        <v>-</v>
      </c>
      <c r="G114" s="5" t="str">
        <f t="shared" si="2"/>
        <v>nops</v>
      </c>
      <c r="H114" s="94"/>
      <c r="I114" s="91" t="str">
        <f t="shared" si="10"/>
        <v/>
      </c>
      <c r="J114" s="91" t="str">
        <f t="shared" si="3"/>
        <v/>
      </c>
      <c r="K114" s="68" t="str">
        <f t="shared" si="11"/>
        <v/>
      </c>
      <c r="L114" s="64"/>
      <c r="M114" s="65"/>
      <c r="N114" s="65"/>
      <c r="O114" s="65"/>
      <c r="P114" s="4"/>
      <c r="Q114" s="4"/>
      <c r="R114" s="4"/>
      <c r="S114" s="4"/>
      <c r="T114" s="4"/>
      <c r="U114" s="4"/>
      <c r="V114" s="8">
        <f t="shared" si="12"/>
        <v>1447170.257</v>
      </c>
      <c r="W114" s="5" t="str">
        <f t="shared" si="7"/>
        <v>nops</v>
      </c>
      <c r="X114" s="67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</row>
    <row r="115" ht="19.5" customHeight="1">
      <c r="A115" s="56" t="s">
        <v>28</v>
      </c>
      <c r="B115" s="57">
        <v>96.0</v>
      </c>
      <c r="C115" s="89">
        <f t="shared" si="8"/>
        <v>2845902.991</v>
      </c>
      <c r="D115" s="89">
        <f t="shared" si="9"/>
        <v>316211.4435</v>
      </c>
      <c r="E115" s="59"/>
      <c r="F115" s="60" t="str">
        <f t="shared" si="1"/>
        <v>-</v>
      </c>
      <c r="G115" s="5" t="str">
        <f t="shared" si="2"/>
        <v>nops</v>
      </c>
      <c r="H115" s="94"/>
      <c r="I115" s="91" t="str">
        <f t="shared" si="10"/>
        <v/>
      </c>
      <c r="J115" s="91" t="str">
        <f t="shared" si="3"/>
        <v/>
      </c>
      <c r="K115" s="68" t="str">
        <f t="shared" si="11"/>
        <v/>
      </c>
      <c r="L115" s="64"/>
      <c r="M115" s="65"/>
      <c r="N115" s="65"/>
      <c r="O115" s="65"/>
      <c r="P115" s="4"/>
      <c r="Q115" s="4"/>
      <c r="R115" s="4"/>
      <c r="S115" s="4"/>
      <c r="T115" s="4"/>
      <c r="U115" s="4"/>
      <c r="V115" s="8">
        <f t="shared" si="12"/>
        <v>1628066.539</v>
      </c>
      <c r="W115" s="5" t="str">
        <f t="shared" si="7"/>
        <v>nops</v>
      </c>
      <c r="X115" s="67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</row>
    <row r="116" ht="19.5" customHeight="1">
      <c r="A116" s="56" t="s">
        <v>28</v>
      </c>
      <c r="B116" s="57">
        <v>97.0</v>
      </c>
      <c r="C116" s="89">
        <f t="shared" si="8"/>
        <v>3201640.865</v>
      </c>
      <c r="D116" s="89">
        <f t="shared" si="9"/>
        <v>355737.8739</v>
      </c>
      <c r="E116" s="59"/>
      <c r="F116" s="60" t="str">
        <f t="shared" si="1"/>
        <v>-</v>
      </c>
      <c r="G116" s="5" t="str">
        <f t="shared" si="2"/>
        <v>nops</v>
      </c>
      <c r="H116" s="94"/>
      <c r="I116" s="91" t="str">
        <f t="shared" si="10"/>
        <v/>
      </c>
      <c r="J116" s="91" t="str">
        <f t="shared" si="3"/>
        <v/>
      </c>
      <c r="K116" s="68" t="str">
        <f t="shared" si="11"/>
        <v/>
      </c>
      <c r="L116" s="64"/>
      <c r="M116" s="65"/>
      <c r="N116" s="65"/>
      <c r="O116" s="65"/>
      <c r="P116" s="4"/>
      <c r="Q116" s="4"/>
      <c r="R116" s="4"/>
      <c r="S116" s="4"/>
      <c r="T116" s="4"/>
      <c r="U116" s="4"/>
      <c r="V116" s="8">
        <f t="shared" si="12"/>
        <v>1831574.857</v>
      </c>
      <c r="W116" s="5" t="str">
        <f t="shared" si="7"/>
        <v>nops</v>
      </c>
      <c r="X116" s="67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</row>
    <row r="117" ht="19.5" customHeight="1">
      <c r="A117" s="56" t="s">
        <v>28</v>
      </c>
      <c r="B117" s="57">
        <v>98.0</v>
      </c>
      <c r="C117" s="89">
        <f t="shared" si="8"/>
        <v>3601845.974</v>
      </c>
      <c r="D117" s="89">
        <f t="shared" si="9"/>
        <v>400205.1082</v>
      </c>
      <c r="E117" s="59"/>
      <c r="F117" s="60" t="str">
        <f t="shared" si="1"/>
        <v>-</v>
      </c>
      <c r="G117" s="5" t="str">
        <f t="shared" si="2"/>
        <v>nops</v>
      </c>
      <c r="H117" s="94"/>
      <c r="I117" s="91" t="str">
        <f t="shared" si="10"/>
        <v/>
      </c>
      <c r="J117" s="91" t="str">
        <f t="shared" si="3"/>
        <v/>
      </c>
      <c r="K117" s="68" t="str">
        <f t="shared" si="11"/>
        <v/>
      </c>
      <c r="L117" s="64"/>
      <c r="M117" s="65"/>
      <c r="N117" s="65"/>
      <c r="O117" s="65"/>
      <c r="P117" s="4"/>
      <c r="Q117" s="4"/>
      <c r="R117" s="4"/>
      <c r="S117" s="4"/>
      <c r="T117" s="4"/>
      <c r="U117" s="4"/>
      <c r="V117" s="8">
        <f t="shared" si="12"/>
        <v>2060521.714</v>
      </c>
      <c r="W117" s="5" t="str">
        <f t="shared" si="7"/>
        <v>nops</v>
      </c>
      <c r="X117" s="67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</row>
    <row r="118" ht="19.5" customHeight="1">
      <c r="A118" s="56" t="s">
        <v>28</v>
      </c>
      <c r="B118" s="57">
        <v>99.0</v>
      </c>
      <c r="C118" s="89">
        <f t="shared" si="8"/>
        <v>4052076.72</v>
      </c>
      <c r="D118" s="89">
        <f t="shared" si="9"/>
        <v>450230.7467</v>
      </c>
      <c r="E118" s="59"/>
      <c r="F118" s="60" t="str">
        <f t="shared" si="1"/>
        <v>-</v>
      </c>
      <c r="G118" s="5" t="str">
        <f t="shared" si="2"/>
        <v>nops</v>
      </c>
      <c r="H118" s="94"/>
      <c r="I118" s="91" t="str">
        <f t="shared" si="10"/>
        <v/>
      </c>
      <c r="J118" s="91" t="str">
        <f t="shared" si="3"/>
        <v/>
      </c>
      <c r="K118" s="68" t="str">
        <f t="shared" si="11"/>
        <v/>
      </c>
      <c r="L118" s="64"/>
      <c r="M118" s="65"/>
      <c r="N118" s="65"/>
      <c r="O118" s="65"/>
      <c r="P118" s="4"/>
      <c r="Q118" s="4"/>
      <c r="R118" s="4"/>
      <c r="S118" s="4"/>
      <c r="T118" s="4"/>
      <c r="U118" s="4"/>
      <c r="V118" s="8">
        <f t="shared" si="12"/>
        <v>2318086.928</v>
      </c>
      <c r="W118" s="5" t="str">
        <f t="shared" si="7"/>
        <v>nops</v>
      </c>
      <c r="X118" s="67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</row>
    <row r="119" ht="19.5" customHeight="1">
      <c r="A119" s="56" t="s">
        <v>28</v>
      </c>
      <c r="B119" s="57">
        <v>100.0</v>
      </c>
      <c r="C119" s="89">
        <f t="shared" si="8"/>
        <v>4558586.31</v>
      </c>
      <c r="D119" s="89">
        <f t="shared" si="9"/>
        <v>506509.59</v>
      </c>
      <c r="E119" s="59"/>
      <c r="F119" s="60" t="str">
        <f t="shared" si="1"/>
        <v>-</v>
      </c>
      <c r="G119" s="5" t="str">
        <f t="shared" si="2"/>
        <v>nops</v>
      </c>
      <c r="H119" s="94"/>
      <c r="I119" s="91" t="str">
        <f t="shared" si="10"/>
        <v/>
      </c>
      <c r="J119" s="91" t="str">
        <f t="shared" si="3"/>
        <v/>
      </c>
      <c r="K119" s="68" t="str">
        <f t="shared" si="11"/>
        <v/>
      </c>
      <c r="L119" s="64"/>
      <c r="M119" s="65"/>
      <c r="N119" s="65"/>
      <c r="O119" s="65"/>
      <c r="P119" s="4"/>
      <c r="Q119" s="4"/>
      <c r="R119" s="4"/>
      <c r="S119" s="4"/>
      <c r="T119" s="4"/>
      <c r="U119" s="4"/>
      <c r="V119" s="8">
        <f t="shared" si="12"/>
        <v>2607847.794</v>
      </c>
      <c r="W119" s="5" t="str">
        <f t="shared" si="7"/>
        <v>nops</v>
      </c>
      <c r="X119" s="67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</row>
    <row r="120" ht="19.5" customHeight="1">
      <c r="A120" s="56" t="s">
        <v>28</v>
      </c>
      <c r="B120" s="57">
        <v>101.0</v>
      </c>
      <c r="C120" s="89">
        <f t="shared" si="8"/>
        <v>5128409.599</v>
      </c>
      <c r="D120" s="89">
        <f t="shared" si="9"/>
        <v>569823.2888</v>
      </c>
      <c r="E120" s="59"/>
      <c r="F120" s="60" t="str">
        <f t="shared" si="1"/>
        <v>-</v>
      </c>
      <c r="G120" s="5" t="str">
        <f t="shared" si="2"/>
        <v>nops</v>
      </c>
      <c r="H120" s="94"/>
      <c r="I120" s="91" t="str">
        <f t="shared" si="10"/>
        <v/>
      </c>
      <c r="J120" s="91" t="str">
        <f t="shared" si="3"/>
        <v/>
      </c>
      <c r="K120" s="68" t="str">
        <f t="shared" si="11"/>
        <v/>
      </c>
      <c r="L120" s="64"/>
      <c r="M120" s="65"/>
      <c r="N120" s="65"/>
      <c r="O120" s="65"/>
      <c r="P120" s="4"/>
      <c r="Q120" s="4"/>
      <c r="R120" s="4"/>
      <c r="S120" s="4"/>
      <c r="T120" s="4"/>
      <c r="U120" s="4"/>
      <c r="V120" s="8">
        <f t="shared" si="12"/>
        <v>2933828.768</v>
      </c>
      <c r="W120" s="5" t="str">
        <f t="shared" si="7"/>
        <v>nops</v>
      </c>
      <c r="X120" s="67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</row>
    <row r="121" ht="19.5" customHeight="1">
      <c r="A121" s="56" t="s">
        <v>28</v>
      </c>
      <c r="B121" s="57">
        <v>102.0</v>
      </c>
      <c r="C121" s="89">
        <f t="shared" si="8"/>
        <v>5769460.799</v>
      </c>
      <c r="D121" s="89">
        <f t="shared" si="9"/>
        <v>641051.1999</v>
      </c>
      <c r="E121" s="59"/>
      <c r="F121" s="60" t="str">
        <f t="shared" si="1"/>
        <v>-</v>
      </c>
      <c r="G121" s="5" t="str">
        <f t="shared" si="2"/>
        <v>nops</v>
      </c>
      <c r="H121" s="94"/>
      <c r="I121" s="91" t="str">
        <f t="shared" si="10"/>
        <v/>
      </c>
      <c r="J121" s="91" t="str">
        <f t="shared" si="3"/>
        <v/>
      </c>
      <c r="K121" s="68" t="str">
        <f t="shared" si="11"/>
        <v/>
      </c>
      <c r="L121" s="64"/>
      <c r="M121" s="65"/>
      <c r="N121" s="65"/>
      <c r="O121" s="65"/>
      <c r="P121" s="4"/>
      <c r="Q121" s="4"/>
      <c r="R121" s="4"/>
      <c r="S121" s="4"/>
      <c r="T121" s="4"/>
      <c r="U121" s="4"/>
      <c r="V121" s="8">
        <f t="shared" si="12"/>
        <v>3300557.364</v>
      </c>
      <c r="W121" s="5" t="str">
        <f t="shared" si="7"/>
        <v>nops</v>
      </c>
      <c r="X121" s="67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</row>
    <row r="122" ht="19.5" customHeight="1">
      <c r="A122" s="56" t="s">
        <v>28</v>
      </c>
      <c r="B122" s="57">
        <v>103.0</v>
      </c>
      <c r="C122" s="89">
        <f t="shared" si="8"/>
        <v>6490643.399</v>
      </c>
      <c r="D122" s="89">
        <f t="shared" si="9"/>
        <v>721182.5999</v>
      </c>
      <c r="E122" s="59"/>
      <c r="F122" s="60" t="str">
        <f t="shared" si="1"/>
        <v>-</v>
      </c>
      <c r="G122" s="5" t="str">
        <f t="shared" si="2"/>
        <v>nops</v>
      </c>
      <c r="H122" s="94"/>
      <c r="I122" s="91" t="str">
        <f t="shared" si="10"/>
        <v/>
      </c>
      <c r="J122" s="91" t="str">
        <f t="shared" si="3"/>
        <v/>
      </c>
      <c r="K122" s="68" t="str">
        <f t="shared" si="11"/>
        <v/>
      </c>
      <c r="L122" s="64"/>
      <c r="M122" s="65"/>
      <c r="N122" s="65"/>
      <c r="O122" s="65"/>
      <c r="P122" s="4"/>
      <c r="Q122" s="4"/>
      <c r="R122" s="4"/>
      <c r="S122" s="4"/>
      <c r="T122" s="4"/>
      <c r="U122" s="4"/>
      <c r="V122" s="8">
        <f t="shared" si="12"/>
        <v>3713127.035</v>
      </c>
      <c r="W122" s="5" t="str">
        <f t="shared" si="7"/>
        <v>nops</v>
      </c>
      <c r="X122" s="67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</row>
    <row r="123" ht="19.5" customHeight="1">
      <c r="A123" s="56" t="s">
        <v>28</v>
      </c>
      <c r="B123" s="57">
        <v>104.0</v>
      </c>
      <c r="C123" s="89">
        <f t="shared" si="8"/>
        <v>7301973.824</v>
      </c>
      <c r="D123" s="89">
        <f t="shared" si="9"/>
        <v>811330.4249</v>
      </c>
      <c r="E123" s="59"/>
      <c r="F123" s="60" t="str">
        <f t="shared" si="1"/>
        <v>-</v>
      </c>
      <c r="G123" s="5" t="str">
        <f t="shared" si="2"/>
        <v>nops</v>
      </c>
      <c r="H123" s="94"/>
      <c r="I123" s="91" t="str">
        <f t="shared" si="10"/>
        <v/>
      </c>
      <c r="J123" s="91" t="str">
        <f t="shared" si="3"/>
        <v/>
      </c>
      <c r="K123" s="68" t="str">
        <f t="shared" si="11"/>
        <v/>
      </c>
      <c r="L123" s="64"/>
      <c r="M123" s="65"/>
      <c r="N123" s="65"/>
      <c r="O123" s="65"/>
      <c r="P123" s="4"/>
      <c r="Q123" s="4"/>
      <c r="R123" s="4"/>
      <c r="S123" s="4"/>
      <c r="T123" s="4"/>
      <c r="U123" s="4"/>
      <c r="V123" s="8">
        <f t="shared" si="12"/>
        <v>4177267.914</v>
      </c>
      <c r="W123" s="5" t="str">
        <f t="shared" si="7"/>
        <v>nops</v>
      </c>
      <c r="X123" s="67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</row>
    <row r="124" ht="19.5" customHeight="1">
      <c r="A124" s="56" t="s">
        <v>28</v>
      </c>
      <c r="B124" s="57">
        <v>105.0</v>
      </c>
      <c r="C124" s="89">
        <f t="shared" si="8"/>
        <v>8214720.552</v>
      </c>
      <c r="D124" s="89">
        <f t="shared" si="9"/>
        <v>912746.728</v>
      </c>
      <c r="E124" s="59"/>
      <c r="F124" s="60" t="str">
        <f t="shared" si="1"/>
        <v>-</v>
      </c>
      <c r="G124" s="5" t="str">
        <f t="shared" si="2"/>
        <v>nops</v>
      </c>
      <c r="H124" s="94"/>
      <c r="I124" s="91" t="str">
        <f t="shared" si="10"/>
        <v/>
      </c>
      <c r="J124" s="91" t="str">
        <f t="shared" si="3"/>
        <v/>
      </c>
      <c r="K124" s="68" t="str">
        <f t="shared" si="11"/>
        <v/>
      </c>
      <c r="L124" s="64"/>
      <c r="M124" s="65"/>
      <c r="N124" s="65"/>
      <c r="O124" s="65"/>
      <c r="P124" s="4"/>
      <c r="Q124" s="4"/>
      <c r="R124" s="4"/>
      <c r="S124" s="4"/>
      <c r="T124" s="4"/>
      <c r="U124" s="4"/>
      <c r="V124" s="8">
        <f t="shared" si="12"/>
        <v>4699426.404</v>
      </c>
      <c r="W124" s="5" t="str">
        <f t="shared" si="7"/>
        <v>nops</v>
      </c>
      <c r="X124" s="67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</row>
    <row r="125" ht="19.5" customHeight="1">
      <c r="A125" s="56" t="s">
        <v>28</v>
      </c>
      <c r="B125" s="57">
        <v>106.0</v>
      </c>
      <c r="C125" s="89">
        <f t="shared" si="8"/>
        <v>9241560.621</v>
      </c>
      <c r="D125" s="89">
        <f t="shared" si="9"/>
        <v>1026840.069</v>
      </c>
      <c r="E125" s="59"/>
      <c r="F125" s="60" t="str">
        <f t="shared" si="1"/>
        <v>-</v>
      </c>
      <c r="G125" s="5" t="str">
        <f t="shared" si="2"/>
        <v>nops</v>
      </c>
      <c r="H125" s="94"/>
      <c r="I125" s="91" t="str">
        <f t="shared" si="10"/>
        <v/>
      </c>
      <c r="J125" s="91" t="str">
        <f t="shared" si="3"/>
        <v/>
      </c>
      <c r="K125" s="68" t="str">
        <f t="shared" si="11"/>
        <v/>
      </c>
      <c r="L125" s="64"/>
      <c r="M125" s="65"/>
      <c r="N125" s="65"/>
      <c r="O125" s="65"/>
      <c r="P125" s="4"/>
      <c r="Q125" s="4"/>
      <c r="R125" s="4"/>
      <c r="S125" s="4"/>
      <c r="T125" s="4"/>
      <c r="U125" s="4"/>
      <c r="V125" s="8">
        <f t="shared" si="12"/>
        <v>5286854.704</v>
      </c>
      <c r="W125" s="5" t="str">
        <f t="shared" si="7"/>
        <v>nops</v>
      </c>
      <c r="X125" s="67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</row>
    <row r="126" ht="19.5" customHeight="1">
      <c r="A126" s="56" t="s">
        <v>28</v>
      </c>
      <c r="B126" s="57">
        <v>107.0</v>
      </c>
      <c r="C126" s="89">
        <f t="shared" si="8"/>
        <v>10396755.7</v>
      </c>
      <c r="D126" s="89">
        <f t="shared" si="9"/>
        <v>1155195.078</v>
      </c>
      <c r="E126" s="59"/>
      <c r="F126" s="60" t="str">
        <f t="shared" si="1"/>
        <v>-</v>
      </c>
      <c r="G126" s="5" t="str">
        <f t="shared" si="2"/>
        <v>nops</v>
      </c>
      <c r="H126" s="94"/>
      <c r="I126" s="91" t="str">
        <f t="shared" si="10"/>
        <v/>
      </c>
      <c r="J126" s="91" t="str">
        <f t="shared" si="3"/>
        <v/>
      </c>
      <c r="K126" s="68" t="str">
        <f t="shared" si="11"/>
        <v/>
      </c>
      <c r="L126" s="64"/>
      <c r="M126" s="65"/>
      <c r="N126" s="65"/>
      <c r="O126" s="65"/>
      <c r="P126" s="4"/>
      <c r="Q126" s="4"/>
      <c r="R126" s="4"/>
      <c r="S126" s="4"/>
      <c r="T126" s="4"/>
      <c r="U126" s="4"/>
      <c r="V126" s="8">
        <f t="shared" si="12"/>
        <v>5947711.542</v>
      </c>
      <c r="W126" s="5" t="str">
        <f t="shared" si="7"/>
        <v>nops</v>
      </c>
      <c r="X126" s="67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</row>
    <row r="127" ht="19.5" customHeight="1">
      <c r="A127" s="56" t="s">
        <v>28</v>
      </c>
      <c r="B127" s="57">
        <v>108.0</v>
      </c>
      <c r="C127" s="89">
        <f t="shared" si="8"/>
        <v>11696350.16</v>
      </c>
      <c r="D127" s="89">
        <f t="shared" si="9"/>
        <v>1299594.462</v>
      </c>
      <c r="E127" s="59"/>
      <c r="F127" s="60" t="str">
        <f t="shared" si="1"/>
        <v>-</v>
      </c>
      <c r="G127" s="5" t="str">
        <f t="shared" si="2"/>
        <v>nops</v>
      </c>
      <c r="H127" s="94"/>
      <c r="I127" s="91" t="str">
        <f t="shared" si="10"/>
        <v/>
      </c>
      <c r="J127" s="91" t="str">
        <f t="shared" si="3"/>
        <v/>
      </c>
      <c r="K127" s="68" t="str">
        <f t="shared" si="11"/>
        <v/>
      </c>
      <c r="L127" s="64"/>
      <c r="M127" s="65"/>
      <c r="N127" s="65"/>
      <c r="O127" s="65"/>
      <c r="P127" s="4"/>
      <c r="Q127" s="4"/>
      <c r="R127" s="4"/>
      <c r="S127" s="4"/>
      <c r="T127" s="4"/>
      <c r="U127" s="4"/>
      <c r="V127" s="8">
        <f t="shared" si="12"/>
        <v>6691175.485</v>
      </c>
      <c r="W127" s="5" t="str">
        <f t="shared" si="7"/>
        <v>nops</v>
      </c>
      <c r="X127" s="67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</row>
    <row r="128" ht="19.5" customHeight="1">
      <c r="A128" s="56" t="s">
        <v>28</v>
      </c>
      <c r="B128" s="57">
        <v>109.0</v>
      </c>
      <c r="C128" s="89">
        <f t="shared" si="8"/>
        <v>13158393.93</v>
      </c>
      <c r="D128" s="89">
        <f t="shared" si="9"/>
        <v>1462043.77</v>
      </c>
      <c r="E128" s="59"/>
      <c r="F128" s="60" t="str">
        <f t="shared" si="1"/>
        <v>-</v>
      </c>
      <c r="G128" s="5" t="str">
        <f t="shared" si="2"/>
        <v>nops</v>
      </c>
      <c r="H128" s="94"/>
      <c r="I128" s="91" t="str">
        <f t="shared" si="10"/>
        <v/>
      </c>
      <c r="J128" s="91" t="str">
        <f t="shared" si="3"/>
        <v/>
      </c>
      <c r="K128" s="68" t="str">
        <f t="shared" si="11"/>
        <v/>
      </c>
      <c r="L128" s="64"/>
      <c r="M128" s="65"/>
      <c r="N128" s="65"/>
      <c r="O128" s="65"/>
      <c r="P128" s="4"/>
      <c r="Q128" s="4"/>
      <c r="R128" s="4"/>
      <c r="S128" s="4"/>
      <c r="T128" s="4"/>
      <c r="U128" s="4"/>
      <c r="V128" s="8">
        <f t="shared" si="12"/>
        <v>7527572.421</v>
      </c>
      <c r="W128" s="5" t="str">
        <f t="shared" si="7"/>
        <v>nops</v>
      </c>
      <c r="X128" s="67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</row>
    <row r="129" ht="19.5" customHeight="1">
      <c r="A129" s="56" t="s">
        <v>28</v>
      </c>
      <c r="B129" s="57">
        <v>110.0</v>
      </c>
      <c r="C129" s="89">
        <f t="shared" si="8"/>
        <v>14803193.17</v>
      </c>
      <c r="D129" s="89">
        <f t="shared" si="9"/>
        <v>1644799.241</v>
      </c>
      <c r="E129" s="59"/>
      <c r="F129" s="60" t="str">
        <f t="shared" si="1"/>
        <v>-</v>
      </c>
      <c r="G129" s="5" t="str">
        <f t="shared" si="2"/>
        <v>nops</v>
      </c>
      <c r="H129" s="94"/>
      <c r="I129" s="91" t="str">
        <f t="shared" si="10"/>
        <v/>
      </c>
      <c r="J129" s="91" t="str">
        <f t="shared" si="3"/>
        <v/>
      </c>
      <c r="K129" s="68" t="str">
        <f t="shared" si="11"/>
        <v/>
      </c>
      <c r="L129" s="64"/>
      <c r="M129" s="65"/>
      <c r="N129" s="65"/>
      <c r="O129" s="65"/>
      <c r="P129" s="4"/>
      <c r="Q129" s="4"/>
      <c r="R129" s="4"/>
      <c r="S129" s="4"/>
      <c r="T129" s="4"/>
      <c r="U129" s="4"/>
      <c r="V129" s="8">
        <f t="shared" si="12"/>
        <v>8468518.973</v>
      </c>
      <c r="W129" s="5" t="str">
        <f t="shared" si="7"/>
        <v>nops</v>
      </c>
      <c r="X129" s="67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</row>
    <row r="130" ht="19.5" customHeight="1">
      <c r="A130" s="56" t="s">
        <v>28</v>
      </c>
      <c r="B130" s="57">
        <v>111.0</v>
      </c>
      <c r="C130" s="89">
        <f t="shared" si="8"/>
        <v>16653592.32</v>
      </c>
      <c r="D130" s="89">
        <f t="shared" si="9"/>
        <v>1850399.146</v>
      </c>
      <c r="E130" s="59"/>
      <c r="F130" s="60" t="str">
        <f t="shared" si="1"/>
        <v>-</v>
      </c>
      <c r="G130" s="5" t="str">
        <f t="shared" si="2"/>
        <v>nops</v>
      </c>
      <c r="H130" s="94"/>
      <c r="I130" s="91" t="str">
        <f t="shared" si="10"/>
        <v/>
      </c>
      <c r="J130" s="91" t="str">
        <f t="shared" si="3"/>
        <v/>
      </c>
      <c r="K130" s="68" t="str">
        <f t="shared" si="11"/>
        <v/>
      </c>
      <c r="L130" s="64"/>
      <c r="M130" s="65"/>
      <c r="N130" s="65"/>
      <c r="O130" s="65"/>
      <c r="P130" s="4"/>
      <c r="Q130" s="4"/>
      <c r="R130" s="4"/>
      <c r="S130" s="4"/>
      <c r="T130" s="4"/>
      <c r="U130" s="4"/>
      <c r="V130" s="8">
        <f t="shared" si="12"/>
        <v>9527083.845</v>
      </c>
      <c r="W130" s="5" t="str">
        <f t="shared" si="7"/>
        <v>nops</v>
      </c>
      <c r="X130" s="67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</row>
    <row r="131" ht="19.5" customHeight="1">
      <c r="A131" s="56" t="s">
        <v>28</v>
      </c>
      <c r="B131" s="57">
        <v>112.0</v>
      </c>
      <c r="C131" s="89">
        <f t="shared" si="8"/>
        <v>18735291.36</v>
      </c>
      <c r="D131" s="89">
        <f t="shared" si="9"/>
        <v>2081699.04</v>
      </c>
      <c r="E131" s="59"/>
      <c r="F131" s="60" t="str">
        <f t="shared" si="1"/>
        <v>-</v>
      </c>
      <c r="G131" s="5" t="str">
        <f t="shared" si="2"/>
        <v>nops</v>
      </c>
      <c r="H131" s="94"/>
      <c r="I131" s="91" t="str">
        <f t="shared" si="10"/>
        <v/>
      </c>
      <c r="J131" s="91" t="str">
        <f t="shared" si="3"/>
        <v/>
      </c>
      <c r="K131" s="68" t="str">
        <f t="shared" si="11"/>
        <v/>
      </c>
      <c r="L131" s="64"/>
      <c r="M131" s="65"/>
      <c r="N131" s="65"/>
      <c r="O131" s="65"/>
      <c r="P131" s="4"/>
      <c r="Q131" s="4"/>
      <c r="R131" s="4"/>
      <c r="S131" s="4"/>
      <c r="T131" s="4"/>
      <c r="U131" s="4"/>
      <c r="V131" s="8">
        <f t="shared" si="12"/>
        <v>10717969.33</v>
      </c>
      <c r="W131" s="5" t="str">
        <f t="shared" si="7"/>
        <v>nops</v>
      </c>
      <c r="X131" s="67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</row>
    <row r="132" ht="19.5" customHeight="1">
      <c r="A132" s="56" t="s">
        <v>28</v>
      </c>
      <c r="B132" s="57">
        <v>113.0</v>
      </c>
      <c r="C132" s="89">
        <f t="shared" si="8"/>
        <v>21077202.78</v>
      </c>
      <c r="D132" s="89">
        <f t="shared" si="9"/>
        <v>2341911.42</v>
      </c>
      <c r="E132" s="59"/>
      <c r="F132" s="60" t="str">
        <f t="shared" si="1"/>
        <v>-</v>
      </c>
      <c r="G132" s="5" t="str">
        <f t="shared" si="2"/>
        <v>nops</v>
      </c>
      <c r="H132" s="94"/>
      <c r="I132" s="91" t="str">
        <f t="shared" si="10"/>
        <v/>
      </c>
      <c r="J132" s="91" t="str">
        <f t="shared" si="3"/>
        <v/>
      </c>
      <c r="K132" s="68" t="str">
        <f t="shared" si="11"/>
        <v/>
      </c>
      <c r="L132" s="64"/>
      <c r="M132" s="65"/>
      <c r="N132" s="65"/>
      <c r="O132" s="65"/>
      <c r="P132" s="4"/>
      <c r="Q132" s="4"/>
      <c r="R132" s="4"/>
      <c r="S132" s="4"/>
      <c r="T132" s="4"/>
      <c r="U132" s="4"/>
      <c r="V132" s="8">
        <f t="shared" si="12"/>
        <v>12057715.49</v>
      </c>
      <c r="W132" s="5" t="str">
        <f t="shared" si="7"/>
        <v>nops</v>
      </c>
      <c r="X132" s="67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</row>
    <row r="133" ht="19.5" customHeight="1">
      <c r="A133" s="56" t="s">
        <v>28</v>
      </c>
      <c r="B133" s="57">
        <v>114.0</v>
      </c>
      <c r="C133" s="89">
        <f t="shared" si="8"/>
        <v>23711853.12</v>
      </c>
      <c r="D133" s="89">
        <f t="shared" si="9"/>
        <v>2634650.347</v>
      </c>
      <c r="E133" s="59"/>
      <c r="F133" s="60" t="str">
        <f t="shared" si="1"/>
        <v>-</v>
      </c>
      <c r="G133" s="5" t="str">
        <f t="shared" si="2"/>
        <v>nops</v>
      </c>
      <c r="H133" s="94"/>
      <c r="I133" s="91" t="str">
        <f t="shared" si="10"/>
        <v/>
      </c>
      <c r="J133" s="91" t="str">
        <f t="shared" si="3"/>
        <v/>
      </c>
      <c r="K133" s="68" t="str">
        <f t="shared" si="11"/>
        <v/>
      </c>
      <c r="L133" s="64"/>
      <c r="M133" s="65"/>
      <c r="N133" s="65"/>
      <c r="O133" s="65"/>
      <c r="P133" s="4"/>
      <c r="Q133" s="4"/>
      <c r="R133" s="4"/>
      <c r="S133" s="4"/>
      <c r="T133" s="4"/>
      <c r="U133" s="4"/>
      <c r="V133" s="8">
        <f t="shared" si="12"/>
        <v>13564929.93</v>
      </c>
      <c r="W133" s="5" t="str">
        <f t="shared" si="7"/>
        <v>nops</v>
      </c>
      <c r="X133" s="67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</row>
    <row r="134" ht="19.5" customHeight="1">
      <c r="A134" s="56" t="s">
        <v>28</v>
      </c>
      <c r="B134" s="57">
        <v>115.0</v>
      </c>
      <c r="C134" s="89">
        <f t="shared" si="8"/>
        <v>26675834.77</v>
      </c>
      <c r="D134" s="89">
        <f t="shared" si="9"/>
        <v>2963981.641</v>
      </c>
      <c r="E134" s="59"/>
      <c r="F134" s="60" t="str">
        <f t="shared" si="1"/>
        <v>-</v>
      </c>
      <c r="G134" s="5" t="str">
        <f t="shared" si="2"/>
        <v>nops</v>
      </c>
      <c r="H134" s="94"/>
      <c r="I134" s="91" t="str">
        <f t="shared" si="10"/>
        <v/>
      </c>
      <c r="J134" s="91" t="str">
        <f t="shared" si="3"/>
        <v/>
      </c>
      <c r="K134" s="68" t="str">
        <f t="shared" si="11"/>
        <v/>
      </c>
      <c r="L134" s="64"/>
      <c r="M134" s="65"/>
      <c r="N134" s="65"/>
      <c r="O134" s="65"/>
      <c r="P134" s="4"/>
      <c r="Q134" s="4"/>
      <c r="R134" s="4"/>
      <c r="S134" s="4"/>
      <c r="T134" s="4"/>
      <c r="U134" s="4"/>
      <c r="V134" s="8">
        <f t="shared" si="12"/>
        <v>15260546.17</v>
      </c>
      <c r="W134" s="5" t="str">
        <f t="shared" si="7"/>
        <v>nops</v>
      </c>
      <c r="X134" s="67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</row>
    <row r="135" ht="19.5" customHeight="1">
      <c r="A135" s="56" t="s">
        <v>28</v>
      </c>
      <c r="B135" s="57">
        <v>116.0</v>
      </c>
      <c r="C135" s="89">
        <f t="shared" si="8"/>
        <v>30010314.11</v>
      </c>
      <c r="D135" s="89">
        <f t="shared" si="9"/>
        <v>3334479.346</v>
      </c>
      <c r="E135" s="59"/>
      <c r="F135" s="60" t="str">
        <f t="shared" si="1"/>
        <v>-</v>
      </c>
      <c r="G135" s="5" t="str">
        <f t="shared" si="2"/>
        <v>nops</v>
      </c>
      <c r="H135" s="94"/>
      <c r="I135" s="91" t="str">
        <f t="shared" si="10"/>
        <v/>
      </c>
      <c r="J135" s="91" t="str">
        <f t="shared" si="3"/>
        <v/>
      </c>
      <c r="K135" s="68" t="str">
        <f t="shared" si="11"/>
        <v/>
      </c>
      <c r="L135" s="64"/>
      <c r="M135" s="65"/>
      <c r="N135" s="65"/>
      <c r="O135" s="65"/>
      <c r="P135" s="4"/>
      <c r="Q135" s="4"/>
      <c r="R135" s="4"/>
      <c r="S135" s="4"/>
      <c r="T135" s="4"/>
      <c r="U135" s="4"/>
      <c r="V135" s="8">
        <f t="shared" si="12"/>
        <v>17168114.44</v>
      </c>
      <c r="W135" s="5" t="str">
        <f t="shared" si="7"/>
        <v>nops</v>
      </c>
      <c r="X135" s="67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ht="19.5" customHeight="1">
      <c r="A136" s="56" t="s">
        <v>28</v>
      </c>
      <c r="B136" s="57">
        <v>117.0</v>
      </c>
      <c r="C136" s="89">
        <f t="shared" si="8"/>
        <v>33761603.38</v>
      </c>
      <c r="D136" s="89">
        <f t="shared" si="9"/>
        <v>3751289.264</v>
      </c>
      <c r="E136" s="59"/>
      <c r="F136" s="60" t="str">
        <f t="shared" si="1"/>
        <v>-</v>
      </c>
      <c r="G136" s="5" t="str">
        <f t="shared" si="2"/>
        <v>nops</v>
      </c>
      <c r="H136" s="94"/>
      <c r="I136" s="91" t="str">
        <f t="shared" si="10"/>
        <v/>
      </c>
      <c r="J136" s="91" t="str">
        <f t="shared" si="3"/>
        <v/>
      </c>
      <c r="K136" s="68" t="str">
        <f t="shared" si="11"/>
        <v/>
      </c>
      <c r="L136" s="64"/>
      <c r="M136" s="65"/>
      <c r="N136" s="65"/>
      <c r="O136" s="65"/>
      <c r="P136" s="4"/>
      <c r="Q136" s="4"/>
      <c r="R136" s="4"/>
      <c r="S136" s="4"/>
      <c r="T136" s="4"/>
      <c r="U136" s="4"/>
      <c r="V136" s="8">
        <f t="shared" si="12"/>
        <v>19314128.74</v>
      </c>
      <c r="W136" s="5" t="str">
        <f t="shared" si="7"/>
        <v>nops</v>
      </c>
      <c r="X136" s="67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</row>
    <row r="137" ht="19.5" customHeight="1">
      <c r="A137" s="56" t="s">
        <v>28</v>
      </c>
      <c r="B137" s="57">
        <v>118.0</v>
      </c>
      <c r="C137" s="89">
        <f t="shared" si="8"/>
        <v>37981803.8</v>
      </c>
      <c r="D137" s="89">
        <f t="shared" si="9"/>
        <v>4220200.422</v>
      </c>
      <c r="E137" s="59"/>
      <c r="F137" s="60" t="str">
        <f t="shared" si="1"/>
        <v>-</v>
      </c>
      <c r="G137" s="5" t="str">
        <f t="shared" si="2"/>
        <v>nops</v>
      </c>
      <c r="H137" s="94"/>
      <c r="I137" s="91" t="str">
        <f t="shared" si="10"/>
        <v/>
      </c>
      <c r="J137" s="91" t="str">
        <f t="shared" si="3"/>
        <v/>
      </c>
      <c r="K137" s="68" t="str">
        <f t="shared" si="11"/>
        <v/>
      </c>
      <c r="L137" s="64"/>
      <c r="M137" s="65"/>
      <c r="N137" s="65"/>
      <c r="O137" s="65"/>
      <c r="P137" s="4"/>
      <c r="Q137" s="4"/>
      <c r="R137" s="4"/>
      <c r="S137" s="4"/>
      <c r="T137" s="4"/>
      <c r="U137" s="4"/>
      <c r="V137" s="8">
        <f t="shared" si="12"/>
        <v>21728394.84</v>
      </c>
      <c r="W137" s="5" t="str">
        <f t="shared" si="7"/>
        <v>nops</v>
      </c>
      <c r="X137" s="67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</row>
    <row r="138" ht="19.5" customHeight="1">
      <c r="A138" s="56" t="s">
        <v>28</v>
      </c>
      <c r="B138" s="57">
        <v>119.0</v>
      </c>
      <c r="C138" s="89">
        <f t="shared" si="8"/>
        <v>42729529.27</v>
      </c>
      <c r="D138" s="89">
        <f t="shared" si="9"/>
        <v>4747725.475</v>
      </c>
      <c r="E138" s="59"/>
      <c r="F138" s="60" t="str">
        <f t="shared" si="1"/>
        <v>-</v>
      </c>
      <c r="G138" s="5" t="str">
        <f t="shared" si="2"/>
        <v>nops</v>
      </c>
      <c r="H138" s="94"/>
      <c r="I138" s="91" t="str">
        <f t="shared" si="10"/>
        <v/>
      </c>
      <c r="J138" s="91" t="str">
        <f t="shared" si="3"/>
        <v/>
      </c>
      <c r="K138" s="68" t="str">
        <f t="shared" si="11"/>
        <v/>
      </c>
      <c r="L138" s="64"/>
      <c r="M138" s="65"/>
      <c r="N138" s="65"/>
      <c r="O138" s="65"/>
      <c r="P138" s="4"/>
      <c r="Q138" s="4"/>
      <c r="R138" s="4"/>
      <c r="S138" s="4"/>
      <c r="T138" s="4"/>
      <c r="U138" s="4"/>
      <c r="V138" s="8">
        <f t="shared" si="12"/>
        <v>24444444.19</v>
      </c>
      <c r="W138" s="5" t="str">
        <f t="shared" si="7"/>
        <v>nops</v>
      </c>
      <c r="X138" s="67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</row>
    <row r="139" ht="19.5" customHeight="1">
      <c r="A139" s="56" t="s">
        <v>28</v>
      </c>
      <c r="B139" s="57">
        <v>120.0</v>
      </c>
      <c r="C139" s="89">
        <f t="shared" si="8"/>
        <v>48070720.43</v>
      </c>
      <c r="D139" s="89">
        <f t="shared" si="9"/>
        <v>5341191.159</v>
      </c>
      <c r="E139" s="59"/>
      <c r="F139" s="60" t="str">
        <f t="shared" si="1"/>
        <v>-</v>
      </c>
      <c r="G139" s="5" t="str">
        <f t="shared" si="2"/>
        <v>nops</v>
      </c>
      <c r="H139" s="94"/>
      <c r="I139" s="91" t="str">
        <f t="shared" si="10"/>
        <v/>
      </c>
      <c r="J139" s="91" t="str">
        <f t="shared" si="3"/>
        <v/>
      </c>
      <c r="K139" s="68" t="str">
        <f t="shared" si="11"/>
        <v/>
      </c>
      <c r="L139" s="64"/>
      <c r="M139" s="65"/>
      <c r="N139" s="65"/>
      <c r="O139" s="65"/>
      <c r="P139" s="4"/>
      <c r="Q139" s="4"/>
      <c r="R139" s="4"/>
      <c r="S139" s="4"/>
      <c r="T139" s="4"/>
      <c r="U139" s="4"/>
      <c r="V139" s="8">
        <f t="shared" si="12"/>
        <v>27499999.72</v>
      </c>
      <c r="W139" s="5" t="str">
        <f t="shared" si="7"/>
        <v>nops</v>
      </c>
      <c r="X139" s="67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</row>
    <row r="140" ht="19.5" customHeight="1">
      <c r="A140" s="56" t="s">
        <v>28</v>
      </c>
      <c r="B140" s="57">
        <v>121.0</v>
      </c>
      <c r="C140" s="89">
        <f t="shared" si="8"/>
        <v>54079560.48</v>
      </c>
      <c r="D140" s="89">
        <f t="shared" si="9"/>
        <v>6008840.054</v>
      </c>
      <c r="E140" s="59"/>
      <c r="F140" s="60" t="str">
        <f t="shared" si="1"/>
        <v>-</v>
      </c>
      <c r="G140" s="5" t="str">
        <f t="shared" si="2"/>
        <v>nops</v>
      </c>
      <c r="H140" s="94"/>
      <c r="I140" s="91" t="str">
        <f t="shared" si="10"/>
        <v/>
      </c>
      <c r="J140" s="91" t="str">
        <f t="shared" si="3"/>
        <v/>
      </c>
      <c r="K140" s="68" t="str">
        <f t="shared" si="11"/>
        <v/>
      </c>
      <c r="L140" s="64"/>
      <c r="M140" s="65"/>
      <c r="N140" s="65"/>
      <c r="O140" s="65"/>
      <c r="P140" s="4"/>
      <c r="Q140" s="4"/>
      <c r="R140" s="4"/>
      <c r="S140" s="4"/>
      <c r="T140" s="4"/>
      <c r="U140" s="4"/>
      <c r="V140" s="8">
        <f t="shared" si="12"/>
        <v>30937499.68</v>
      </c>
      <c r="W140" s="5" t="str">
        <f t="shared" si="7"/>
        <v>nops</v>
      </c>
      <c r="X140" s="67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</row>
    <row r="141" ht="19.5" customHeight="1">
      <c r="A141" s="56" t="s">
        <v>28</v>
      </c>
      <c r="B141" s="57">
        <v>122.0</v>
      </c>
      <c r="C141" s="89">
        <f t="shared" si="8"/>
        <v>60839505.55</v>
      </c>
      <c r="D141" s="89">
        <f t="shared" si="9"/>
        <v>6759945.061</v>
      </c>
      <c r="E141" s="59"/>
      <c r="F141" s="60" t="str">
        <f t="shared" si="1"/>
        <v>-</v>
      </c>
      <c r="G141" s="5" t="str">
        <f t="shared" si="2"/>
        <v>nops</v>
      </c>
      <c r="H141" s="94"/>
      <c r="I141" s="91" t="str">
        <f t="shared" si="10"/>
        <v/>
      </c>
      <c r="J141" s="91" t="str">
        <f t="shared" si="3"/>
        <v/>
      </c>
      <c r="K141" s="68" t="str">
        <f t="shared" si="11"/>
        <v/>
      </c>
      <c r="L141" s="64"/>
      <c r="M141" s="65"/>
      <c r="N141" s="65"/>
      <c r="O141" s="65"/>
      <c r="P141" s="4"/>
      <c r="Q141" s="4"/>
      <c r="R141" s="4"/>
      <c r="S141" s="4"/>
      <c r="T141" s="4"/>
      <c r="U141" s="4"/>
      <c r="V141" s="8">
        <f t="shared" si="12"/>
        <v>34804687.14</v>
      </c>
      <c r="W141" s="5" t="str">
        <f t="shared" si="7"/>
        <v>nops</v>
      </c>
      <c r="X141" s="67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</row>
    <row r="142" ht="19.5" customHeight="1">
      <c r="A142" s="56" t="s">
        <v>28</v>
      </c>
      <c r="B142" s="57">
        <v>123.0</v>
      </c>
      <c r="C142" s="89">
        <f t="shared" si="8"/>
        <v>68444443.74</v>
      </c>
      <c r="D142" s="89">
        <f t="shared" si="9"/>
        <v>7604938.193</v>
      </c>
      <c r="E142" s="59"/>
      <c r="F142" s="60" t="str">
        <f t="shared" si="1"/>
        <v>-</v>
      </c>
      <c r="G142" s="5" t="str">
        <f t="shared" si="2"/>
        <v>nops</v>
      </c>
      <c r="H142" s="94"/>
      <c r="I142" s="91" t="str">
        <f t="shared" si="10"/>
        <v/>
      </c>
      <c r="J142" s="91" t="str">
        <f t="shared" si="3"/>
        <v/>
      </c>
      <c r="K142" s="68" t="str">
        <f t="shared" si="11"/>
        <v/>
      </c>
      <c r="L142" s="64"/>
      <c r="M142" s="65"/>
      <c r="N142" s="65"/>
      <c r="O142" s="65"/>
      <c r="P142" s="4"/>
      <c r="Q142" s="4"/>
      <c r="R142" s="4"/>
      <c r="S142" s="4"/>
      <c r="T142" s="4"/>
      <c r="U142" s="4"/>
      <c r="V142" s="8">
        <f t="shared" si="12"/>
        <v>39155273.03</v>
      </c>
      <c r="W142" s="5" t="str">
        <f t="shared" si="7"/>
        <v>nops</v>
      </c>
      <c r="X142" s="67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ht="19.5" customHeight="1">
      <c r="A143" s="56" t="s">
        <v>28</v>
      </c>
      <c r="B143" s="57">
        <v>124.0</v>
      </c>
      <c r="C143" s="89">
        <f t="shared" si="8"/>
        <v>76999999.21</v>
      </c>
      <c r="D143" s="89">
        <f t="shared" si="9"/>
        <v>8555555.467</v>
      </c>
      <c r="E143" s="59"/>
      <c r="F143" s="60" t="str">
        <f t="shared" si="1"/>
        <v>-</v>
      </c>
      <c r="G143" s="5" t="str">
        <f t="shared" si="2"/>
        <v>nops</v>
      </c>
      <c r="H143" s="94"/>
      <c r="I143" s="91" t="str">
        <f t="shared" si="10"/>
        <v/>
      </c>
      <c r="J143" s="91" t="str">
        <f t="shared" si="3"/>
        <v/>
      </c>
      <c r="K143" s="68" t="str">
        <f t="shared" si="11"/>
        <v/>
      </c>
      <c r="L143" s="64"/>
      <c r="M143" s="65"/>
      <c r="N143" s="65"/>
      <c r="O143" s="65"/>
      <c r="P143" s="4"/>
      <c r="Q143" s="4"/>
      <c r="R143" s="4"/>
      <c r="S143" s="4"/>
      <c r="T143" s="4"/>
      <c r="U143" s="4"/>
      <c r="V143" s="8">
        <f t="shared" si="12"/>
        <v>44049682.16</v>
      </c>
      <c r="W143" s="5" t="str">
        <f t="shared" si="7"/>
        <v>nops</v>
      </c>
      <c r="X143" s="67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</row>
    <row r="144" ht="19.5" customHeight="1">
      <c r="A144" s="56" t="s">
        <v>28</v>
      </c>
      <c r="B144" s="57">
        <v>125.0</v>
      </c>
      <c r="C144" s="89">
        <f t="shared" si="8"/>
        <v>86624999.11</v>
      </c>
      <c r="D144" s="89">
        <f t="shared" si="9"/>
        <v>9624999.901</v>
      </c>
      <c r="E144" s="59"/>
      <c r="F144" s="60" t="str">
        <f t="shared" si="1"/>
        <v>-</v>
      </c>
      <c r="G144" s="5" t="str">
        <f t="shared" si="2"/>
        <v>nops</v>
      </c>
      <c r="H144" s="94"/>
      <c r="I144" s="91" t="str">
        <f t="shared" si="10"/>
        <v/>
      </c>
      <c r="J144" s="91" t="str">
        <f t="shared" si="3"/>
        <v/>
      </c>
      <c r="K144" s="68" t="str">
        <f t="shared" si="11"/>
        <v/>
      </c>
      <c r="L144" s="64"/>
      <c r="M144" s="65"/>
      <c r="N144" s="65"/>
      <c r="O144" s="65"/>
      <c r="P144" s="4"/>
      <c r="Q144" s="4"/>
      <c r="R144" s="4"/>
      <c r="S144" s="4"/>
      <c r="T144" s="4"/>
      <c r="U144" s="4"/>
      <c r="V144" s="8">
        <f t="shared" si="12"/>
        <v>49555892.43</v>
      </c>
      <c r="W144" s="5" t="str">
        <f t="shared" si="7"/>
        <v>nops</v>
      </c>
      <c r="X144" s="67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</row>
    <row r="145" ht="19.5" customHeight="1">
      <c r="A145" s="56" t="s">
        <v>28</v>
      </c>
      <c r="B145" s="57">
        <v>126.0</v>
      </c>
      <c r="C145" s="89">
        <f t="shared" si="8"/>
        <v>97453123.99</v>
      </c>
      <c r="D145" s="89">
        <f t="shared" si="9"/>
        <v>10828124.89</v>
      </c>
      <c r="E145" s="59"/>
      <c r="F145" s="60" t="str">
        <f t="shared" si="1"/>
        <v>-</v>
      </c>
      <c r="G145" s="5" t="str">
        <f t="shared" si="2"/>
        <v>nops</v>
      </c>
      <c r="H145" s="94"/>
      <c r="I145" s="91" t="str">
        <f t="shared" si="10"/>
        <v/>
      </c>
      <c r="J145" s="91" t="str">
        <f t="shared" si="3"/>
        <v/>
      </c>
      <c r="K145" s="68" t="str">
        <f t="shared" si="11"/>
        <v/>
      </c>
      <c r="L145" s="64"/>
      <c r="M145" s="65"/>
      <c r="N145" s="65"/>
      <c r="O145" s="65"/>
      <c r="P145" s="4"/>
      <c r="Q145" s="4"/>
      <c r="R145" s="4"/>
      <c r="S145" s="4"/>
      <c r="T145" s="4"/>
      <c r="U145" s="4"/>
      <c r="V145" s="8">
        <f t="shared" si="12"/>
        <v>55750378.99</v>
      </c>
      <c r="W145" s="5" t="str">
        <f t="shared" si="7"/>
        <v>nops</v>
      </c>
      <c r="X145" s="67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</row>
    <row r="146" ht="19.5" customHeight="1">
      <c r="A146" s="56" t="s">
        <v>28</v>
      </c>
      <c r="B146" s="57">
        <v>127.0</v>
      </c>
      <c r="C146" s="89">
        <f t="shared" si="8"/>
        <v>109634764.5</v>
      </c>
      <c r="D146" s="89">
        <f t="shared" si="9"/>
        <v>12181640.5</v>
      </c>
      <c r="E146" s="59"/>
      <c r="F146" s="60" t="str">
        <f t="shared" si="1"/>
        <v>-</v>
      </c>
      <c r="G146" s="5" t="str">
        <f t="shared" si="2"/>
        <v>nops</v>
      </c>
      <c r="H146" s="94"/>
      <c r="I146" s="91" t="str">
        <f t="shared" si="10"/>
        <v/>
      </c>
      <c r="J146" s="91" t="str">
        <f t="shared" si="3"/>
        <v/>
      </c>
      <c r="K146" s="68" t="str">
        <f t="shared" si="11"/>
        <v/>
      </c>
      <c r="L146" s="64"/>
      <c r="M146" s="65"/>
      <c r="N146" s="65"/>
      <c r="O146" s="65"/>
      <c r="P146" s="4"/>
      <c r="Q146" s="4"/>
      <c r="R146" s="4"/>
      <c r="S146" s="4"/>
      <c r="T146" s="4"/>
      <c r="U146" s="4"/>
      <c r="V146" s="8">
        <f t="shared" si="12"/>
        <v>62719176.36</v>
      </c>
      <c r="W146" s="5" t="str">
        <f t="shared" si="7"/>
        <v>nops</v>
      </c>
      <c r="X146" s="67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</row>
    <row r="147" ht="19.5" customHeight="1">
      <c r="A147" s="56" t="s">
        <v>28</v>
      </c>
      <c r="B147" s="57">
        <v>128.0</v>
      </c>
      <c r="C147" s="89">
        <f t="shared" si="8"/>
        <v>123339110.1</v>
      </c>
      <c r="D147" s="89">
        <f t="shared" si="9"/>
        <v>13704345.56</v>
      </c>
      <c r="E147" s="59"/>
      <c r="F147" s="60" t="str">
        <f t="shared" si="1"/>
        <v>-</v>
      </c>
      <c r="G147" s="5" t="str">
        <f t="shared" si="2"/>
        <v>nops</v>
      </c>
      <c r="H147" s="94"/>
      <c r="I147" s="91" t="str">
        <f t="shared" si="10"/>
        <v/>
      </c>
      <c r="J147" s="91" t="str">
        <f t="shared" si="3"/>
        <v/>
      </c>
      <c r="K147" s="68" t="str">
        <f t="shared" si="11"/>
        <v/>
      </c>
      <c r="L147" s="64"/>
      <c r="M147" s="65"/>
      <c r="N147" s="65"/>
      <c r="O147" s="65"/>
      <c r="P147" s="4"/>
      <c r="Q147" s="4"/>
      <c r="R147" s="4"/>
      <c r="S147" s="4"/>
      <c r="T147" s="4"/>
      <c r="U147" s="4"/>
      <c r="V147" s="8">
        <f t="shared" si="12"/>
        <v>70559073.41</v>
      </c>
      <c r="W147" s="5" t="str">
        <f t="shared" si="7"/>
        <v>nops</v>
      </c>
      <c r="X147" s="67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</row>
    <row r="148" ht="19.5" customHeight="1">
      <c r="A148" s="56" t="s">
        <v>28</v>
      </c>
      <c r="B148" s="57">
        <v>129.0</v>
      </c>
      <c r="C148" s="89">
        <f t="shared" si="8"/>
        <v>138756498.8</v>
      </c>
      <c r="D148" s="89">
        <f t="shared" si="9"/>
        <v>15417388.76</v>
      </c>
      <c r="E148" s="59"/>
      <c r="F148" s="60" t="str">
        <f t="shared" si="1"/>
        <v>-</v>
      </c>
      <c r="G148" s="5" t="str">
        <f t="shared" si="2"/>
        <v>nops</v>
      </c>
      <c r="H148" s="94"/>
      <c r="I148" s="91" t="str">
        <f t="shared" si="10"/>
        <v/>
      </c>
      <c r="J148" s="91" t="str">
        <f t="shared" si="3"/>
        <v/>
      </c>
      <c r="K148" s="68" t="str">
        <f t="shared" si="11"/>
        <v/>
      </c>
      <c r="L148" s="64"/>
      <c r="M148" s="65"/>
      <c r="N148" s="65"/>
      <c r="O148" s="65"/>
      <c r="P148" s="4"/>
      <c r="Q148" s="4"/>
      <c r="R148" s="4"/>
      <c r="S148" s="4"/>
      <c r="T148" s="4"/>
      <c r="U148" s="4"/>
      <c r="V148" s="8">
        <f t="shared" si="12"/>
        <v>79378957.58</v>
      </c>
      <c r="W148" s="5" t="str">
        <f t="shared" si="7"/>
        <v>nops</v>
      </c>
      <c r="X148" s="67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</row>
    <row r="149" ht="19.5" customHeight="1">
      <c r="A149" s="56" t="s">
        <v>28</v>
      </c>
      <c r="B149" s="57">
        <v>130.0</v>
      </c>
      <c r="C149" s="89">
        <f t="shared" si="8"/>
        <v>156101061.2</v>
      </c>
      <c r="D149" s="89">
        <f t="shared" si="9"/>
        <v>17344562.35</v>
      </c>
      <c r="E149" s="59"/>
      <c r="F149" s="60" t="str">
        <f t="shared" si="1"/>
        <v>-</v>
      </c>
      <c r="G149" s="5" t="str">
        <f t="shared" si="2"/>
        <v>nops</v>
      </c>
      <c r="H149" s="94"/>
      <c r="I149" s="91" t="str">
        <f t="shared" si="10"/>
        <v/>
      </c>
      <c r="J149" s="91" t="str">
        <f t="shared" si="3"/>
        <v/>
      </c>
      <c r="K149" s="68" t="str">
        <f t="shared" si="11"/>
        <v/>
      </c>
      <c r="L149" s="64"/>
      <c r="M149" s="65"/>
      <c r="N149" s="65"/>
      <c r="O149" s="65"/>
      <c r="P149" s="4"/>
      <c r="Q149" s="4"/>
      <c r="R149" s="4"/>
      <c r="S149" s="4"/>
      <c r="T149" s="4"/>
      <c r="U149" s="4"/>
      <c r="V149" s="8">
        <f t="shared" si="12"/>
        <v>89301327.28</v>
      </c>
      <c r="W149" s="5" t="str">
        <f t="shared" si="7"/>
        <v>nops</v>
      </c>
      <c r="X149" s="67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</row>
    <row r="150" ht="19.5" customHeight="1">
      <c r="A150" s="56" t="s">
        <v>28</v>
      </c>
      <c r="B150" s="57">
        <v>131.0</v>
      </c>
      <c r="C150" s="89">
        <f t="shared" si="8"/>
        <v>175613693.8</v>
      </c>
      <c r="D150" s="89">
        <f t="shared" si="9"/>
        <v>19512632.65</v>
      </c>
      <c r="E150" s="59"/>
      <c r="F150" s="60" t="str">
        <f t="shared" si="1"/>
        <v>-</v>
      </c>
      <c r="G150" s="5" t="str">
        <f t="shared" si="2"/>
        <v>nops</v>
      </c>
      <c r="H150" s="94"/>
      <c r="I150" s="91" t="str">
        <f t="shared" si="10"/>
        <v/>
      </c>
      <c r="J150" s="91" t="str">
        <f t="shared" si="3"/>
        <v/>
      </c>
      <c r="K150" s="68" t="str">
        <f t="shared" si="11"/>
        <v/>
      </c>
      <c r="L150" s="64"/>
      <c r="M150" s="65"/>
      <c r="N150" s="65"/>
      <c r="O150" s="65"/>
      <c r="P150" s="4"/>
      <c r="Q150" s="4"/>
      <c r="R150" s="4"/>
      <c r="S150" s="4"/>
      <c r="T150" s="4"/>
      <c r="U150" s="4"/>
      <c r="V150" s="8">
        <f t="shared" si="12"/>
        <v>100463993.2</v>
      </c>
      <c r="W150" s="5" t="str">
        <f t="shared" si="7"/>
        <v>nops</v>
      </c>
      <c r="X150" s="67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</row>
    <row r="151" ht="19.5" customHeight="1">
      <c r="A151" s="56" t="s">
        <v>28</v>
      </c>
      <c r="B151" s="57">
        <v>132.0</v>
      </c>
      <c r="C151" s="89">
        <f t="shared" si="8"/>
        <v>197565405.5</v>
      </c>
      <c r="D151" s="89">
        <f t="shared" si="9"/>
        <v>21951711.73</v>
      </c>
      <c r="E151" s="59"/>
      <c r="F151" s="60" t="str">
        <f t="shared" si="1"/>
        <v>-</v>
      </c>
      <c r="G151" s="5" t="str">
        <f t="shared" si="2"/>
        <v>nops</v>
      </c>
      <c r="H151" s="94"/>
      <c r="I151" s="91" t="str">
        <f t="shared" si="10"/>
        <v/>
      </c>
      <c r="J151" s="91" t="str">
        <f t="shared" si="3"/>
        <v/>
      </c>
      <c r="K151" s="68" t="str">
        <f t="shared" si="11"/>
        <v/>
      </c>
      <c r="L151" s="64"/>
      <c r="M151" s="65"/>
      <c r="N151" s="65"/>
      <c r="O151" s="65"/>
      <c r="P151" s="4"/>
      <c r="Q151" s="4"/>
      <c r="R151" s="4"/>
      <c r="S151" s="4"/>
      <c r="T151" s="4"/>
      <c r="U151" s="4"/>
      <c r="V151" s="8">
        <f t="shared" si="12"/>
        <v>113021992.3</v>
      </c>
      <c r="W151" s="5" t="str">
        <f t="shared" si="7"/>
        <v>nops</v>
      </c>
      <c r="X151" s="67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</row>
    <row r="152" ht="19.5" customHeight="1">
      <c r="A152" s="56" t="s">
        <v>28</v>
      </c>
      <c r="B152" s="57">
        <v>133.0</v>
      </c>
      <c r="C152" s="89">
        <f t="shared" si="8"/>
        <v>222261081.2</v>
      </c>
      <c r="D152" s="89">
        <f t="shared" si="9"/>
        <v>24695675.69</v>
      </c>
      <c r="E152" s="59"/>
      <c r="F152" s="60" t="str">
        <f t="shared" si="1"/>
        <v>-</v>
      </c>
      <c r="G152" s="5" t="str">
        <f t="shared" si="2"/>
        <v>nops</v>
      </c>
      <c r="H152" s="94"/>
      <c r="I152" s="91" t="str">
        <f t="shared" si="10"/>
        <v/>
      </c>
      <c r="J152" s="91" t="str">
        <f t="shared" si="3"/>
        <v/>
      </c>
      <c r="K152" s="68" t="str">
        <f t="shared" si="11"/>
        <v/>
      </c>
      <c r="L152" s="64"/>
      <c r="M152" s="65"/>
      <c r="N152" s="65"/>
      <c r="O152" s="65"/>
      <c r="P152" s="4"/>
      <c r="Q152" s="4"/>
      <c r="R152" s="4"/>
      <c r="S152" s="4"/>
      <c r="T152" s="4"/>
      <c r="U152" s="4"/>
      <c r="V152" s="8">
        <f t="shared" si="12"/>
        <v>127149741.4</v>
      </c>
      <c r="W152" s="5" t="str">
        <f t="shared" si="7"/>
        <v>nops</v>
      </c>
      <c r="X152" s="67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</row>
    <row r="153" ht="19.5" customHeight="1">
      <c r="A153" s="56" t="s">
        <v>28</v>
      </c>
      <c r="B153" s="57">
        <v>134.0</v>
      </c>
      <c r="C153" s="89">
        <f t="shared" si="8"/>
        <v>250043716.4</v>
      </c>
      <c r="D153" s="89">
        <f t="shared" si="9"/>
        <v>27782635.15</v>
      </c>
      <c r="E153" s="59"/>
      <c r="F153" s="60" t="str">
        <f t="shared" si="1"/>
        <v>-</v>
      </c>
      <c r="G153" s="5" t="str">
        <f t="shared" si="2"/>
        <v>nops</v>
      </c>
      <c r="H153" s="94"/>
      <c r="I153" s="91" t="str">
        <f t="shared" si="10"/>
        <v/>
      </c>
      <c r="J153" s="91" t="str">
        <f t="shared" si="3"/>
        <v/>
      </c>
      <c r="K153" s="68" t="str">
        <f t="shared" si="11"/>
        <v/>
      </c>
      <c r="L153" s="64"/>
      <c r="M153" s="65"/>
      <c r="N153" s="65"/>
      <c r="O153" s="65"/>
      <c r="P153" s="4"/>
      <c r="Q153" s="4"/>
      <c r="R153" s="4"/>
      <c r="S153" s="4"/>
      <c r="T153" s="4"/>
      <c r="U153" s="4"/>
      <c r="V153" s="8">
        <f t="shared" si="12"/>
        <v>143043459.1</v>
      </c>
      <c r="W153" s="5" t="str">
        <f t="shared" si="7"/>
        <v>nops</v>
      </c>
      <c r="X153" s="67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</row>
    <row r="154" ht="19.5" customHeight="1">
      <c r="A154" s="56" t="s">
        <v>28</v>
      </c>
      <c r="B154" s="57">
        <v>135.0</v>
      </c>
      <c r="C154" s="89">
        <f t="shared" si="8"/>
        <v>281299180.9</v>
      </c>
      <c r="D154" s="89">
        <f t="shared" si="9"/>
        <v>31255464.55</v>
      </c>
      <c r="E154" s="59"/>
      <c r="F154" s="60" t="str">
        <f t="shared" si="1"/>
        <v>-</v>
      </c>
      <c r="G154" s="5" t="str">
        <f t="shared" si="2"/>
        <v>nops</v>
      </c>
      <c r="H154" s="94"/>
      <c r="I154" s="91" t="str">
        <f t="shared" si="10"/>
        <v/>
      </c>
      <c r="J154" s="91" t="str">
        <f t="shared" si="3"/>
        <v/>
      </c>
      <c r="K154" s="68" t="str">
        <f t="shared" si="11"/>
        <v/>
      </c>
      <c r="L154" s="64"/>
      <c r="M154" s="65"/>
      <c r="N154" s="65"/>
      <c r="O154" s="65"/>
      <c r="P154" s="4"/>
      <c r="Q154" s="4"/>
      <c r="R154" s="4"/>
      <c r="S154" s="4"/>
      <c r="T154" s="4"/>
      <c r="U154" s="4"/>
      <c r="V154" s="8">
        <f t="shared" si="12"/>
        <v>160923891.4</v>
      </c>
      <c r="W154" s="5" t="str">
        <f t="shared" si="7"/>
        <v>nops</v>
      </c>
      <c r="X154" s="67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</row>
    <row r="155" ht="19.5" customHeight="1">
      <c r="A155" s="56" t="s">
        <v>28</v>
      </c>
      <c r="B155" s="57">
        <v>136.0</v>
      </c>
      <c r="C155" s="89">
        <f t="shared" si="8"/>
        <v>316461578.5</v>
      </c>
      <c r="D155" s="89">
        <f t="shared" si="9"/>
        <v>35162397.62</v>
      </c>
      <c r="E155" s="59"/>
      <c r="F155" s="60" t="str">
        <f t="shared" si="1"/>
        <v>-</v>
      </c>
      <c r="G155" s="5" t="str">
        <f t="shared" si="2"/>
        <v>nops</v>
      </c>
      <c r="H155" s="94"/>
      <c r="I155" s="91" t="str">
        <f t="shared" si="10"/>
        <v/>
      </c>
      <c r="J155" s="91" t="str">
        <f t="shared" si="3"/>
        <v/>
      </c>
      <c r="K155" s="68" t="str">
        <f t="shared" si="11"/>
        <v/>
      </c>
      <c r="L155" s="64"/>
      <c r="M155" s="65"/>
      <c r="N155" s="65"/>
      <c r="O155" s="65"/>
      <c r="P155" s="4"/>
      <c r="Q155" s="4"/>
      <c r="R155" s="4"/>
      <c r="S155" s="4"/>
      <c r="T155" s="4"/>
      <c r="U155" s="4"/>
      <c r="V155" s="8">
        <f t="shared" si="12"/>
        <v>181039377.9</v>
      </c>
      <c r="W155" s="5" t="str">
        <f t="shared" si="7"/>
        <v>nops</v>
      </c>
      <c r="X155" s="67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</row>
    <row r="156" ht="19.5" customHeight="1">
      <c r="A156" s="56" t="s">
        <v>28</v>
      </c>
      <c r="B156" s="57">
        <v>137.0</v>
      </c>
      <c r="C156" s="89">
        <f t="shared" si="8"/>
        <v>356019275.9</v>
      </c>
      <c r="D156" s="89">
        <f t="shared" si="9"/>
        <v>39557697.32</v>
      </c>
      <c r="E156" s="59"/>
      <c r="F156" s="60" t="str">
        <f t="shared" si="1"/>
        <v>-</v>
      </c>
      <c r="G156" s="5" t="str">
        <f t="shared" si="2"/>
        <v>nops</v>
      </c>
      <c r="H156" s="94"/>
      <c r="I156" s="91" t="str">
        <f t="shared" si="10"/>
        <v/>
      </c>
      <c r="J156" s="91" t="str">
        <f t="shared" si="3"/>
        <v/>
      </c>
      <c r="K156" s="68" t="str">
        <f t="shared" si="11"/>
        <v/>
      </c>
      <c r="L156" s="64"/>
      <c r="M156" s="65"/>
      <c r="N156" s="65"/>
      <c r="O156" s="65"/>
      <c r="P156" s="4"/>
      <c r="Q156" s="4"/>
      <c r="R156" s="4"/>
      <c r="S156" s="4"/>
      <c r="T156" s="4"/>
      <c r="U156" s="4"/>
      <c r="V156" s="8">
        <f t="shared" si="12"/>
        <v>203669300.1</v>
      </c>
      <c r="W156" s="5" t="str">
        <f t="shared" si="7"/>
        <v>nops</v>
      </c>
      <c r="X156" s="67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</row>
    <row r="157" ht="19.5" customHeight="1">
      <c r="A157" s="56" t="s">
        <v>28</v>
      </c>
      <c r="B157" s="57">
        <v>138.0</v>
      </c>
      <c r="C157" s="89">
        <f t="shared" si="8"/>
        <v>400521685.3</v>
      </c>
      <c r="D157" s="89">
        <f t="shared" si="9"/>
        <v>44502409.48</v>
      </c>
      <c r="E157" s="59"/>
      <c r="F157" s="60" t="str">
        <f t="shared" si="1"/>
        <v>-</v>
      </c>
      <c r="G157" s="5" t="str">
        <f t="shared" si="2"/>
        <v>nops</v>
      </c>
      <c r="H157" s="94"/>
      <c r="I157" s="91" t="str">
        <f t="shared" si="10"/>
        <v/>
      </c>
      <c r="J157" s="91" t="str">
        <f t="shared" si="3"/>
        <v/>
      </c>
      <c r="K157" s="68" t="str">
        <f t="shared" si="11"/>
        <v/>
      </c>
      <c r="L157" s="64"/>
      <c r="M157" s="65"/>
      <c r="N157" s="65"/>
      <c r="O157" s="65"/>
      <c r="P157" s="4"/>
      <c r="Q157" s="4"/>
      <c r="R157" s="4"/>
      <c r="S157" s="4"/>
      <c r="T157" s="4"/>
      <c r="U157" s="4"/>
      <c r="V157" s="8">
        <f t="shared" si="12"/>
        <v>229127962.6</v>
      </c>
      <c r="W157" s="5" t="str">
        <f t="shared" si="7"/>
        <v>nops</v>
      </c>
      <c r="X157" s="67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</row>
    <row r="158" ht="19.5" customHeight="1">
      <c r="A158" s="56" t="s">
        <v>28</v>
      </c>
      <c r="B158" s="57">
        <v>139.0</v>
      </c>
      <c r="C158" s="89">
        <f t="shared" si="8"/>
        <v>450586896</v>
      </c>
      <c r="D158" s="89">
        <f t="shared" si="9"/>
        <v>50065210.67</v>
      </c>
      <c r="E158" s="59"/>
      <c r="F158" s="60" t="str">
        <f t="shared" si="1"/>
        <v>-</v>
      </c>
      <c r="G158" s="5" t="str">
        <f t="shared" si="2"/>
        <v>nops</v>
      </c>
      <c r="H158" s="94"/>
      <c r="I158" s="91" t="str">
        <f t="shared" si="10"/>
        <v/>
      </c>
      <c r="J158" s="91" t="str">
        <f t="shared" si="3"/>
        <v/>
      </c>
      <c r="K158" s="68" t="str">
        <f t="shared" si="11"/>
        <v/>
      </c>
      <c r="L158" s="64"/>
      <c r="M158" s="65"/>
      <c r="N158" s="65"/>
      <c r="O158" s="65"/>
      <c r="P158" s="4"/>
      <c r="Q158" s="4"/>
      <c r="R158" s="4"/>
      <c r="S158" s="4"/>
      <c r="T158" s="4"/>
      <c r="U158" s="4"/>
      <c r="V158" s="8">
        <f t="shared" si="12"/>
        <v>257768957.9</v>
      </c>
      <c r="W158" s="5" t="str">
        <f t="shared" si="7"/>
        <v>nops</v>
      </c>
      <c r="X158" s="67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</row>
    <row r="159" ht="19.5" customHeight="1">
      <c r="A159" s="56" t="s">
        <v>28</v>
      </c>
      <c r="B159" s="57">
        <v>140.0</v>
      </c>
      <c r="C159" s="89">
        <f t="shared" si="8"/>
        <v>506910258</v>
      </c>
      <c r="D159" s="89">
        <f t="shared" si="9"/>
        <v>56323362</v>
      </c>
      <c r="E159" s="59"/>
      <c r="F159" s="60" t="str">
        <f t="shared" si="1"/>
        <v>-</v>
      </c>
      <c r="G159" s="5" t="str">
        <f t="shared" si="2"/>
        <v>nops</v>
      </c>
      <c r="H159" s="94"/>
      <c r="I159" s="91" t="str">
        <f t="shared" si="10"/>
        <v/>
      </c>
      <c r="J159" s="91" t="str">
        <f t="shared" si="3"/>
        <v/>
      </c>
      <c r="K159" s="68" t="str">
        <f t="shared" si="11"/>
        <v/>
      </c>
      <c r="L159" s="64"/>
      <c r="M159" s="65"/>
      <c r="N159" s="65"/>
      <c r="O159" s="65"/>
      <c r="P159" s="4"/>
      <c r="Q159" s="4"/>
      <c r="R159" s="4"/>
      <c r="S159" s="4"/>
      <c r="T159" s="4"/>
      <c r="U159" s="4"/>
      <c r="V159" s="8">
        <f t="shared" si="12"/>
        <v>289990077.7</v>
      </c>
      <c r="W159" s="5" t="str">
        <f t="shared" si="7"/>
        <v>nops</v>
      </c>
      <c r="X159" s="67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</row>
    <row r="160" ht="19.5" customHeight="1">
      <c r="A160" s="56" t="s">
        <v>28</v>
      </c>
      <c r="B160" s="57">
        <v>141.0</v>
      </c>
      <c r="C160" s="89">
        <f t="shared" si="8"/>
        <v>570274040.3</v>
      </c>
      <c r="D160" s="89">
        <f t="shared" si="9"/>
        <v>63363782.25</v>
      </c>
      <c r="E160" s="59"/>
      <c r="F160" s="60" t="str">
        <f t="shared" si="1"/>
        <v>-</v>
      </c>
      <c r="G160" s="5" t="str">
        <f t="shared" si="2"/>
        <v>nops</v>
      </c>
      <c r="H160" s="94"/>
      <c r="I160" s="91" t="str">
        <f t="shared" si="10"/>
        <v/>
      </c>
      <c r="J160" s="91" t="str">
        <f t="shared" si="3"/>
        <v/>
      </c>
      <c r="K160" s="68" t="str">
        <f t="shared" si="11"/>
        <v/>
      </c>
      <c r="L160" s="64"/>
      <c r="M160" s="65"/>
      <c r="N160" s="65"/>
      <c r="O160" s="65"/>
      <c r="P160" s="4"/>
      <c r="Q160" s="4"/>
      <c r="R160" s="4"/>
      <c r="S160" s="4"/>
      <c r="T160" s="4"/>
      <c r="U160" s="4"/>
      <c r="V160" s="8">
        <f t="shared" si="12"/>
        <v>326238837.4</v>
      </c>
      <c r="W160" s="5" t="str">
        <f t="shared" si="7"/>
        <v>nops</v>
      </c>
      <c r="X160" s="67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</row>
    <row r="161" ht="19.5" customHeight="1">
      <c r="A161" s="56" t="s">
        <v>28</v>
      </c>
      <c r="B161" s="57">
        <v>142.0</v>
      </c>
      <c r="C161" s="89">
        <f t="shared" si="8"/>
        <v>641558295.3</v>
      </c>
      <c r="D161" s="89">
        <f t="shared" si="9"/>
        <v>71284255.03</v>
      </c>
      <c r="E161" s="59"/>
      <c r="F161" s="60" t="str">
        <f t="shared" si="1"/>
        <v>-</v>
      </c>
      <c r="G161" s="5" t="str">
        <f t="shared" si="2"/>
        <v>nops</v>
      </c>
      <c r="H161" s="94"/>
      <c r="I161" s="91" t="str">
        <f t="shared" si="10"/>
        <v/>
      </c>
      <c r="J161" s="91" t="str">
        <f t="shared" si="3"/>
        <v/>
      </c>
      <c r="K161" s="68" t="str">
        <f t="shared" si="11"/>
        <v/>
      </c>
      <c r="L161" s="64"/>
      <c r="M161" s="65"/>
      <c r="N161" s="65"/>
      <c r="O161" s="65"/>
      <c r="P161" s="4"/>
      <c r="Q161" s="4"/>
      <c r="R161" s="4"/>
      <c r="S161" s="4"/>
      <c r="T161" s="4"/>
      <c r="U161" s="4"/>
      <c r="V161" s="8">
        <f t="shared" si="12"/>
        <v>367018692.1</v>
      </c>
      <c r="W161" s="5" t="str">
        <f t="shared" si="7"/>
        <v>nops</v>
      </c>
      <c r="X161" s="67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</row>
    <row r="162" ht="19.5" customHeight="1">
      <c r="A162" s="56" t="s">
        <v>28</v>
      </c>
      <c r="B162" s="57">
        <v>143.0</v>
      </c>
      <c r="C162" s="89">
        <f t="shared" si="8"/>
        <v>721753082.2</v>
      </c>
      <c r="D162" s="89">
        <f t="shared" si="9"/>
        <v>80194786.91</v>
      </c>
      <c r="E162" s="59"/>
      <c r="F162" s="60" t="str">
        <f t="shared" si="1"/>
        <v>-</v>
      </c>
      <c r="G162" s="5" t="str">
        <f t="shared" si="2"/>
        <v>nops</v>
      </c>
      <c r="H162" s="94"/>
      <c r="I162" s="91" t="str">
        <f t="shared" si="10"/>
        <v/>
      </c>
      <c r="J162" s="91" t="str">
        <f t="shared" si="3"/>
        <v/>
      </c>
      <c r="K162" s="68" t="str">
        <f t="shared" si="11"/>
        <v/>
      </c>
      <c r="L162" s="64"/>
      <c r="M162" s="65"/>
      <c r="N162" s="65"/>
      <c r="O162" s="65"/>
      <c r="P162" s="4"/>
      <c r="Q162" s="4"/>
      <c r="R162" s="4"/>
      <c r="S162" s="4"/>
      <c r="T162" s="4"/>
      <c r="U162" s="4"/>
      <c r="V162" s="8">
        <f t="shared" si="12"/>
        <v>412896028.6</v>
      </c>
      <c r="W162" s="5" t="str">
        <f t="shared" si="7"/>
        <v>nops</v>
      </c>
      <c r="X162" s="67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</row>
    <row r="163" ht="19.5" customHeight="1">
      <c r="A163" s="56" t="s">
        <v>28</v>
      </c>
      <c r="B163" s="57">
        <v>144.0</v>
      </c>
      <c r="C163" s="89">
        <f t="shared" si="8"/>
        <v>811972217.5</v>
      </c>
      <c r="D163" s="89">
        <f t="shared" si="9"/>
        <v>90219135.28</v>
      </c>
      <c r="E163" s="59"/>
      <c r="F163" s="60" t="str">
        <f t="shared" si="1"/>
        <v>-</v>
      </c>
      <c r="G163" s="5" t="str">
        <f t="shared" si="2"/>
        <v>nops</v>
      </c>
      <c r="H163" s="94"/>
      <c r="I163" s="91" t="str">
        <f t="shared" si="10"/>
        <v/>
      </c>
      <c r="J163" s="91" t="str">
        <f t="shared" si="3"/>
        <v/>
      </c>
      <c r="K163" s="68" t="str">
        <f t="shared" si="11"/>
        <v/>
      </c>
      <c r="L163" s="64"/>
      <c r="M163" s="65"/>
      <c r="N163" s="65"/>
      <c r="O163" s="65"/>
      <c r="P163" s="4"/>
      <c r="Q163" s="4"/>
      <c r="R163" s="4"/>
      <c r="S163" s="4"/>
      <c r="T163" s="4"/>
      <c r="U163" s="4"/>
      <c r="V163" s="8">
        <f t="shared" si="12"/>
        <v>464508032.1</v>
      </c>
      <c r="W163" s="5" t="str">
        <f t="shared" si="7"/>
        <v>nops</v>
      </c>
      <c r="X163" s="67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</row>
    <row r="164" ht="19.5" customHeight="1">
      <c r="A164" s="56" t="s">
        <v>28</v>
      </c>
      <c r="B164" s="57">
        <v>145.0</v>
      </c>
      <c r="C164" s="89">
        <f t="shared" si="8"/>
        <v>913468744.7</v>
      </c>
      <c r="D164" s="89">
        <f t="shared" si="9"/>
        <v>101496527.2</v>
      </c>
      <c r="E164" s="59"/>
      <c r="F164" s="60" t="str">
        <f t="shared" si="1"/>
        <v>-</v>
      </c>
      <c r="G164" s="5" t="str">
        <f t="shared" si="2"/>
        <v>nops</v>
      </c>
      <c r="H164" s="94"/>
      <c r="I164" s="91" t="str">
        <f t="shared" si="10"/>
        <v/>
      </c>
      <c r="J164" s="91" t="str">
        <f t="shared" si="3"/>
        <v/>
      </c>
      <c r="K164" s="68" t="str">
        <f t="shared" si="11"/>
        <v/>
      </c>
      <c r="L164" s="64"/>
      <c r="M164" s="65"/>
      <c r="N164" s="65"/>
      <c r="O164" s="65"/>
      <c r="P164" s="4"/>
      <c r="Q164" s="4"/>
      <c r="R164" s="4"/>
      <c r="S164" s="4"/>
      <c r="T164" s="4"/>
      <c r="U164" s="4"/>
      <c r="V164" s="8">
        <f t="shared" si="12"/>
        <v>522571536.2</v>
      </c>
      <c r="W164" s="5" t="str">
        <f t="shared" si="7"/>
        <v>nops</v>
      </c>
      <c r="X164" s="67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</row>
    <row r="165" ht="19.5" customHeight="1">
      <c r="A165" s="56" t="s">
        <v>28</v>
      </c>
      <c r="B165" s="57">
        <v>146.0</v>
      </c>
      <c r="C165" s="89">
        <f t="shared" si="8"/>
        <v>1027652338</v>
      </c>
      <c r="D165" s="89">
        <f t="shared" si="9"/>
        <v>114183593.1</v>
      </c>
      <c r="E165" s="59"/>
      <c r="F165" s="60" t="str">
        <f t="shared" si="1"/>
        <v>-</v>
      </c>
      <c r="G165" s="5" t="str">
        <f t="shared" si="2"/>
        <v>nops</v>
      </c>
      <c r="H165" s="94"/>
      <c r="I165" s="91" t="str">
        <f t="shared" si="10"/>
        <v/>
      </c>
      <c r="J165" s="91" t="str">
        <f t="shared" si="3"/>
        <v/>
      </c>
      <c r="K165" s="68" t="str">
        <f t="shared" si="11"/>
        <v/>
      </c>
      <c r="L165" s="64"/>
      <c r="M165" s="65"/>
      <c r="N165" s="65"/>
      <c r="O165" s="65"/>
      <c r="P165" s="4"/>
      <c r="Q165" s="4"/>
      <c r="R165" s="4"/>
      <c r="S165" s="4"/>
      <c r="T165" s="4"/>
      <c r="U165" s="4"/>
      <c r="V165" s="8">
        <f t="shared" si="12"/>
        <v>587892978.2</v>
      </c>
      <c r="W165" s="5" t="str">
        <f t="shared" si="7"/>
        <v>nops</v>
      </c>
      <c r="X165" s="67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</row>
    <row r="166" ht="19.5" customHeight="1">
      <c r="A166" s="56" t="s">
        <v>28</v>
      </c>
      <c r="B166" s="57">
        <v>147.0</v>
      </c>
      <c r="C166" s="89">
        <f t="shared" si="8"/>
        <v>1156108880</v>
      </c>
      <c r="D166" s="89">
        <f t="shared" si="9"/>
        <v>128456542.2</v>
      </c>
      <c r="E166" s="59"/>
      <c r="F166" s="60" t="str">
        <f t="shared" si="1"/>
        <v>-</v>
      </c>
      <c r="G166" s="5" t="str">
        <f t="shared" si="2"/>
        <v>nops</v>
      </c>
      <c r="H166" s="94"/>
      <c r="I166" s="91" t="str">
        <f t="shared" si="10"/>
        <v/>
      </c>
      <c r="J166" s="91" t="str">
        <f t="shared" si="3"/>
        <v/>
      </c>
      <c r="K166" s="68" t="str">
        <f t="shared" si="11"/>
        <v/>
      </c>
      <c r="L166" s="64"/>
      <c r="M166" s="65"/>
      <c r="N166" s="65"/>
      <c r="O166" s="65"/>
      <c r="P166" s="4"/>
      <c r="Q166" s="4"/>
      <c r="R166" s="4"/>
      <c r="S166" s="4"/>
      <c r="T166" s="4"/>
      <c r="U166" s="4"/>
      <c r="V166" s="8">
        <f t="shared" si="12"/>
        <v>661379600.4</v>
      </c>
      <c r="W166" s="5" t="str">
        <f t="shared" si="7"/>
        <v>nops</v>
      </c>
      <c r="X166" s="67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</row>
    <row r="167" ht="19.5" customHeight="1">
      <c r="A167" s="56" t="s">
        <v>28</v>
      </c>
      <c r="B167" s="57">
        <v>148.0</v>
      </c>
      <c r="C167" s="89">
        <f t="shared" si="8"/>
        <v>1300622490</v>
      </c>
      <c r="D167" s="89">
        <f t="shared" si="9"/>
        <v>144513610</v>
      </c>
      <c r="E167" s="59"/>
      <c r="F167" s="60" t="str">
        <f t="shared" si="1"/>
        <v>-</v>
      </c>
      <c r="G167" s="5" t="str">
        <f t="shared" si="2"/>
        <v>nops</v>
      </c>
      <c r="H167" s="94"/>
      <c r="I167" s="91" t="str">
        <f t="shared" si="10"/>
        <v/>
      </c>
      <c r="J167" s="91" t="str">
        <f t="shared" si="3"/>
        <v/>
      </c>
      <c r="K167" s="68" t="str">
        <f t="shared" si="11"/>
        <v/>
      </c>
      <c r="L167" s="64"/>
      <c r="M167" s="65"/>
      <c r="N167" s="65"/>
      <c r="O167" s="65"/>
      <c r="P167" s="4"/>
      <c r="Q167" s="4"/>
      <c r="R167" s="4"/>
      <c r="S167" s="4"/>
      <c r="T167" s="4"/>
      <c r="U167" s="4"/>
      <c r="V167" s="8">
        <f t="shared" si="12"/>
        <v>744052050.5</v>
      </c>
      <c r="W167" s="5" t="str">
        <f t="shared" si="7"/>
        <v>nops</v>
      </c>
      <c r="X167" s="67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</row>
    <row r="168" ht="19.5" customHeight="1">
      <c r="A168" s="56" t="s">
        <v>28</v>
      </c>
      <c r="B168" s="57">
        <v>149.0</v>
      </c>
      <c r="C168" s="89">
        <f t="shared" si="8"/>
        <v>1463200301</v>
      </c>
      <c r="D168" s="89">
        <f t="shared" si="9"/>
        <v>162577811.2</v>
      </c>
      <c r="E168" s="59"/>
      <c r="F168" s="60" t="str">
        <f t="shared" si="1"/>
        <v>-</v>
      </c>
      <c r="G168" s="5" t="str">
        <f t="shared" si="2"/>
        <v>nops</v>
      </c>
      <c r="H168" s="94"/>
      <c r="I168" s="91" t="str">
        <f t="shared" si="10"/>
        <v/>
      </c>
      <c r="J168" s="91" t="str">
        <f t="shared" si="3"/>
        <v/>
      </c>
      <c r="K168" s="68" t="str">
        <f t="shared" si="11"/>
        <v/>
      </c>
      <c r="L168" s="64"/>
      <c r="M168" s="65"/>
      <c r="N168" s="65"/>
      <c r="O168" s="65"/>
      <c r="P168" s="4"/>
      <c r="Q168" s="4"/>
      <c r="R168" s="4"/>
      <c r="S168" s="4"/>
      <c r="T168" s="4"/>
      <c r="U168" s="4"/>
      <c r="V168" s="8">
        <f t="shared" si="12"/>
        <v>837058556.8</v>
      </c>
      <c r="W168" s="5" t="str">
        <f t="shared" si="7"/>
        <v>nops</v>
      </c>
      <c r="X168" s="67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</row>
    <row r="169" ht="19.5" customHeight="1">
      <c r="A169" s="56" t="s">
        <v>28</v>
      </c>
      <c r="B169" s="57">
        <v>150.0</v>
      </c>
      <c r="C169" s="89">
        <f t="shared" si="8"/>
        <v>1646100339</v>
      </c>
      <c r="D169" s="89">
        <f t="shared" si="9"/>
        <v>182900037.7</v>
      </c>
      <c r="E169" s="59"/>
      <c r="F169" s="60" t="str">
        <f t="shared" si="1"/>
        <v>-</v>
      </c>
      <c r="G169" s="5" t="str">
        <f t="shared" si="2"/>
        <v>nops</v>
      </c>
      <c r="H169" s="94"/>
      <c r="I169" s="91" t="str">
        <f t="shared" si="10"/>
        <v/>
      </c>
      <c r="J169" s="91" t="str">
        <f t="shared" si="3"/>
        <v/>
      </c>
      <c r="K169" s="68" t="str">
        <f t="shared" si="11"/>
        <v/>
      </c>
      <c r="L169" s="64"/>
      <c r="M169" s="65"/>
      <c r="N169" s="65"/>
      <c r="O169" s="65"/>
      <c r="P169" s="4"/>
      <c r="Q169" s="4"/>
      <c r="R169" s="4"/>
      <c r="S169" s="4"/>
      <c r="T169" s="4"/>
      <c r="U169" s="4"/>
      <c r="V169" s="8">
        <f t="shared" si="12"/>
        <v>941690876.4</v>
      </c>
      <c r="W169" s="5" t="str">
        <f t="shared" si="7"/>
        <v>nops</v>
      </c>
      <c r="X169" s="67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</row>
    <row r="170" ht="19.5" customHeight="1">
      <c r="A170" s="56" t="s">
        <v>28</v>
      </c>
      <c r="B170" s="57">
        <v>151.0</v>
      </c>
      <c r="C170" s="89">
        <f t="shared" si="8"/>
        <v>1851862881</v>
      </c>
      <c r="D170" s="89">
        <f t="shared" si="9"/>
        <v>205762542.4</v>
      </c>
      <c r="E170" s="59"/>
      <c r="F170" s="60" t="str">
        <f t="shared" si="1"/>
        <v>-</v>
      </c>
      <c r="G170" s="5" t="str">
        <f t="shared" si="2"/>
        <v>nops</v>
      </c>
      <c r="H170" s="94"/>
      <c r="I170" s="91" t="str">
        <f t="shared" si="10"/>
        <v/>
      </c>
      <c r="J170" s="91" t="str">
        <f t="shared" si="3"/>
        <v/>
      </c>
      <c r="K170" s="68" t="str">
        <f t="shared" si="11"/>
        <v/>
      </c>
      <c r="L170" s="64"/>
      <c r="M170" s="65"/>
      <c r="N170" s="65"/>
      <c r="O170" s="65"/>
      <c r="P170" s="4"/>
      <c r="Q170" s="4"/>
      <c r="R170" s="4"/>
      <c r="S170" s="4"/>
      <c r="T170" s="4"/>
      <c r="U170" s="4"/>
      <c r="V170" s="8">
        <f t="shared" si="12"/>
        <v>1059402236</v>
      </c>
      <c r="W170" s="5" t="str">
        <f t="shared" si="7"/>
        <v>nops</v>
      </c>
      <c r="X170" s="67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</row>
    <row r="171" ht="19.5" customHeight="1">
      <c r="A171" s="56" t="s">
        <v>28</v>
      </c>
      <c r="B171" s="57">
        <v>152.0</v>
      </c>
      <c r="C171" s="89">
        <f t="shared" si="8"/>
        <v>2083345741</v>
      </c>
      <c r="D171" s="89">
        <f t="shared" si="9"/>
        <v>231482860.2</v>
      </c>
      <c r="E171" s="59"/>
      <c r="F171" s="60" t="str">
        <f t="shared" si="1"/>
        <v>-</v>
      </c>
      <c r="G171" s="5" t="str">
        <f t="shared" si="2"/>
        <v>nops</v>
      </c>
      <c r="H171" s="94"/>
      <c r="I171" s="91" t="str">
        <f t="shared" si="10"/>
        <v/>
      </c>
      <c r="J171" s="91" t="str">
        <f t="shared" si="3"/>
        <v/>
      </c>
      <c r="K171" s="68" t="str">
        <f t="shared" si="11"/>
        <v/>
      </c>
      <c r="L171" s="64"/>
      <c r="M171" s="65"/>
      <c r="N171" s="65"/>
      <c r="O171" s="65"/>
      <c r="P171" s="4"/>
      <c r="Q171" s="4"/>
      <c r="R171" s="4"/>
      <c r="S171" s="4"/>
      <c r="T171" s="4"/>
      <c r="U171" s="4"/>
      <c r="V171" s="8">
        <f t="shared" si="12"/>
        <v>1191827515</v>
      </c>
      <c r="W171" s="5" t="str">
        <f t="shared" si="7"/>
        <v>nops</v>
      </c>
      <c r="X171" s="67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</row>
    <row r="172" ht="19.5" customHeight="1">
      <c r="A172" s="56" t="s">
        <v>28</v>
      </c>
      <c r="B172" s="57">
        <v>153.0</v>
      </c>
      <c r="C172" s="89">
        <f t="shared" si="8"/>
        <v>2343763959</v>
      </c>
      <c r="D172" s="89">
        <f t="shared" si="9"/>
        <v>260418217.7</v>
      </c>
      <c r="E172" s="59"/>
      <c r="F172" s="60" t="str">
        <f t="shared" si="1"/>
        <v>-</v>
      </c>
      <c r="G172" s="5" t="str">
        <f t="shared" si="2"/>
        <v>nops</v>
      </c>
      <c r="H172" s="94"/>
      <c r="I172" s="91" t="str">
        <f t="shared" si="10"/>
        <v/>
      </c>
      <c r="J172" s="91" t="str">
        <f t="shared" si="3"/>
        <v/>
      </c>
      <c r="K172" s="68" t="str">
        <f t="shared" si="11"/>
        <v/>
      </c>
      <c r="L172" s="64"/>
      <c r="M172" s="65"/>
      <c r="N172" s="65"/>
      <c r="O172" s="65"/>
      <c r="P172" s="4"/>
      <c r="Q172" s="4"/>
      <c r="R172" s="4"/>
      <c r="S172" s="4"/>
      <c r="T172" s="4"/>
      <c r="U172" s="4"/>
      <c r="V172" s="8">
        <f t="shared" si="12"/>
        <v>1340805955</v>
      </c>
      <c r="W172" s="5" t="str">
        <f t="shared" si="7"/>
        <v>nops</v>
      </c>
      <c r="X172" s="67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</row>
    <row r="173" ht="19.5" customHeight="1">
      <c r="A173" s="56" t="s">
        <v>28</v>
      </c>
      <c r="B173" s="57">
        <v>154.0</v>
      </c>
      <c r="C173" s="89">
        <f t="shared" si="8"/>
        <v>2636734454</v>
      </c>
      <c r="D173" s="89">
        <f t="shared" si="9"/>
        <v>292970494.9</v>
      </c>
      <c r="E173" s="59"/>
      <c r="F173" s="60" t="str">
        <f t="shared" si="1"/>
        <v>-</v>
      </c>
      <c r="G173" s="5" t="str">
        <f t="shared" si="2"/>
        <v>nops</v>
      </c>
      <c r="H173" s="94"/>
      <c r="I173" s="91" t="str">
        <f t="shared" si="10"/>
        <v/>
      </c>
      <c r="J173" s="91" t="str">
        <f t="shared" si="3"/>
        <v/>
      </c>
      <c r="K173" s="68" t="str">
        <f t="shared" si="11"/>
        <v/>
      </c>
      <c r="L173" s="64"/>
      <c r="M173" s="65"/>
      <c r="N173" s="65"/>
      <c r="O173" s="65"/>
      <c r="P173" s="4"/>
      <c r="Q173" s="4"/>
      <c r="R173" s="4"/>
      <c r="S173" s="4"/>
      <c r="T173" s="4"/>
      <c r="U173" s="4"/>
      <c r="V173" s="8">
        <f t="shared" si="12"/>
        <v>1508406699</v>
      </c>
      <c r="W173" s="5" t="str">
        <f t="shared" si="7"/>
        <v>nops</v>
      </c>
      <c r="X173" s="67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</row>
    <row r="174" ht="19.5" customHeight="1">
      <c r="A174" s="56" t="s">
        <v>28</v>
      </c>
      <c r="B174" s="57">
        <v>155.0</v>
      </c>
      <c r="C174" s="89">
        <f t="shared" si="8"/>
        <v>2966326261</v>
      </c>
      <c r="D174" s="89">
        <f t="shared" si="9"/>
        <v>329591806.7</v>
      </c>
      <c r="E174" s="59"/>
      <c r="F174" s="60" t="str">
        <f t="shared" si="1"/>
        <v>-</v>
      </c>
      <c r="G174" s="5" t="str">
        <f t="shared" si="2"/>
        <v>nops</v>
      </c>
      <c r="H174" s="94"/>
      <c r="I174" s="91" t="str">
        <f t="shared" si="10"/>
        <v/>
      </c>
      <c r="J174" s="91" t="str">
        <f t="shared" si="3"/>
        <v/>
      </c>
      <c r="K174" s="68" t="str">
        <f t="shared" si="11"/>
        <v/>
      </c>
      <c r="L174" s="64"/>
      <c r="M174" s="65"/>
      <c r="N174" s="65"/>
      <c r="O174" s="65"/>
      <c r="P174" s="4"/>
      <c r="Q174" s="4"/>
      <c r="R174" s="4"/>
      <c r="S174" s="4"/>
      <c r="T174" s="4"/>
      <c r="U174" s="4"/>
      <c r="V174" s="8">
        <f t="shared" si="12"/>
        <v>1696957537</v>
      </c>
      <c r="W174" s="5" t="str">
        <f t="shared" si="7"/>
        <v>nops</v>
      </c>
      <c r="X174" s="67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</row>
    <row r="175" ht="19.5" customHeight="1">
      <c r="A175" s="56" t="s">
        <v>28</v>
      </c>
      <c r="B175" s="57">
        <v>156.0</v>
      </c>
      <c r="C175" s="89">
        <f t="shared" si="8"/>
        <v>3337117043</v>
      </c>
      <c r="D175" s="89">
        <f t="shared" si="9"/>
        <v>370790782.6</v>
      </c>
      <c r="E175" s="59"/>
      <c r="F175" s="60" t="str">
        <f t="shared" si="1"/>
        <v>-</v>
      </c>
      <c r="G175" s="5" t="str">
        <f t="shared" si="2"/>
        <v>nops</v>
      </c>
      <c r="H175" s="94"/>
      <c r="I175" s="91" t="str">
        <f t="shared" si="10"/>
        <v/>
      </c>
      <c r="J175" s="91" t="str">
        <f t="shared" si="3"/>
        <v/>
      </c>
      <c r="K175" s="68" t="str">
        <f t="shared" si="11"/>
        <v/>
      </c>
      <c r="L175" s="64"/>
      <c r="M175" s="65"/>
      <c r="N175" s="65"/>
      <c r="O175" s="65"/>
      <c r="P175" s="4"/>
      <c r="Q175" s="4"/>
      <c r="R175" s="4"/>
      <c r="S175" s="4"/>
      <c r="T175" s="4"/>
      <c r="U175" s="4"/>
      <c r="V175" s="8">
        <f t="shared" si="12"/>
        <v>1909077229</v>
      </c>
      <c r="W175" s="5" t="str">
        <f t="shared" si="7"/>
        <v>nops</v>
      </c>
      <c r="X175" s="67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</row>
    <row r="176" ht="19.5" customHeight="1">
      <c r="A176" s="56" t="s">
        <v>28</v>
      </c>
      <c r="B176" s="57">
        <v>157.0</v>
      </c>
      <c r="C176" s="89">
        <f t="shared" si="8"/>
        <v>3754256674</v>
      </c>
      <c r="D176" s="89">
        <f t="shared" si="9"/>
        <v>417139630.4</v>
      </c>
      <c r="E176" s="59"/>
      <c r="F176" s="60" t="str">
        <f t="shared" si="1"/>
        <v>-</v>
      </c>
      <c r="G176" s="5" t="str">
        <f t="shared" si="2"/>
        <v>nops</v>
      </c>
      <c r="H176" s="94"/>
      <c r="I176" s="91" t="str">
        <f t="shared" si="10"/>
        <v/>
      </c>
      <c r="J176" s="91" t="str">
        <f t="shared" si="3"/>
        <v/>
      </c>
      <c r="K176" s="68" t="str">
        <f t="shared" si="11"/>
        <v/>
      </c>
      <c r="L176" s="64"/>
      <c r="M176" s="65"/>
      <c r="N176" s="65"/>
      <c r="O176" s="65"/>
      <c r="P176" s="4"/>
      <c r="Q176" s="4"/>
      <c r="R176" s="4"/>
      <c r="S176" s="4"/>
      <c r="T176" s="4"/>
      <c r="U176" s="4"/>
      <c r="V176" s="8">
        <f t="shared" si="12"/>
        <v>2147711882</v>
      </c>
      <c r="W176" s="5" t="str">
        <f t="shared" si="7"/>
        <v>nops</v>
      </c>
      <c r="X176" s="67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</row>
    <row r="177" ht="19.5" customHeight="1">
      <c r="A177" s="56" t="s">
        <v>28</v>
      </c>
      <c r="B177" s="57">
        <v>158.0</v>
      </c>
      <c r="C177" s="89">
        <f t="shared" si="8"/>
        <v>4223538758</v>
      </c>
      <c r="D177" s="89">
        <f t="shared" si="9"/>
        <v>469282084.2</v>
      </c>
      <c r="E177" s="59"/>
      <c r="F177" s="60" t="str">
        <f t="shared" si="1"/>
        <v>-</v>
      </c>
      <c r="G177" s="5" t="str">
        <f t="shared" si="2"/>
        <v>nops</v>
      </c>
      <c r="H177" s="94"/>
      <c r="I177" s="91" t="str">
        <f t="shared" si="10"/>
        <v/>
      </c>
      <c r="J177" s="91" t="str">
        <f t="shared" si="3"/>
        <v/>
      </c>
      <c r="K177" s="68" t="str">
        <f t="shared" si="11"/>
        <v/>
      </c>
      <c r="L177" s="64"/>
      <c r="M177" s="65"/>
      <c r="N177" s="65"/>
      <c r="O177" s="65"/>
      <c r="P177" s="4"/>
      <c r="Q177" s="4"/>
      <c r="R177" s="4"/>
      <c r="S177" s="4"/>
      <c r="T177" s="4"/>
      <c r="U177" s="4"/>
      <c r="V177" s="8">
        <f t="shared" si="12"/>
        <v>2416175868</v>
      </c>
      <c r="W177" s="5" t="str">
        <f t="shared" si="7"/>
        <v>nops</v>
      </c>
      <c r="X177" s="67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</row>
    <row r="178" ht="19.5" customHeight="1">
      <c r="A178" s="56" t="s">
        <v>28</v>
      </c>
      <c r="B178" s="57">
        <v>159.0</v>
      </c>
      <c r="C178" s="89">
        <f t="shared" si="8"/>
        <v>4751481103</v>
      </c>
      <c r="D178" s="89">
        <f t="shared" si="9"/>
        <v>527942344.7</v>
      </c>
      <c r="E178" s="59"/>
      <c r="F178" s="60" t="str">
        <f t="shared" si="1"/>
        <v>-</v>
      </c>
      <c r="G178" s="5" t="str">
        <f t="shared" si="2"/>
        <v>nops</v>
      </c>
      <c r="H178" s="94"/>
      <c r="I178" s="91" t="str">
        <f t="shared" si="10"/>
        <v/>
      </c>
      <c r="J178" s="91" t="str">
        <f t="shared" si="3"/>
        <v/>
      </c>
      <c r="K178" s="68" t="str">
        <f t="shared" si="11"/>
        <v/>
      </c>
      <c r="L178" s="64"/>
      <c r="M178" s="65"/>
      <c r="N178" s="65"/>
      <c r="O178" s="65"/>
      <c r="P178" s="4"/>
      <c r="Q178" s="4"/>
      <c r="R178" s="4"/>
      <c r="S178" s="4"/>
      <c r="T178" s="4"/>
      <c r="U178" s="4"/>
      <c r="V178" s="8">
        <f t="shared" si="12"/>
        <v>2718197851</v>
      </c>
      <c r="W178" s="5" t="str">
        <f t="shared" si="7"/>
        <v>nops</v>
      </c>
      <c r="X178" s="67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</row>
    <row r="179" ht="19.5" customHeight="1">
      <c r="A179" s="56" t="s">
        <v>28</v>
      </c>
      <c r="B179" s="57">
        <v>160.0</v>
      </c>
      <c r="C179" s="89">
        <f t="shared" si="8"/>
        <v>5345416240</v>
      </c>
      <c r="D179" s="89">
        <f t="shared" si="9"/>
        <v>593935137.8</v>
      </c>
      <c r="E179" s="59"/>
      <c r="F179" s="60" t="str">
        <f t="shared" si="1"/>
        <v>-</v>
      </c>
      <c r="G179" s="5" t="str">
        <f t="shared" si="2"/>
        <v>nops</v>
      </c>
      <c r="H179" s="94"/>
      <c r="I179" s="91" t="str">
        <f t="shared" si="10"/>
        <v/>
      </c>
      <c r="J179" s="91" t="str">
        <f t="shared" si="3"/>
        <v/>
      </c>
      <c r="K179" s="68" t="str">
        <f t="shared" si="11"/>
        <v/>
      </c>
      <c r="L179" s="64"/>
      <c r="M179" s="65"/>
      <c r="N179" s="65"/>
      <c r="O179" s="65"/>
      <c r="P179" s="4"/>
      <c r="Q179" s="4"/>
      <c r="R179" s="4"/>
      <c r="S179" s="4"/>
      <c r="T179" s="4"/>
      <c r="U179" s="4"/>
      <c r="V179" s="8">
        <f t="shared" si="12"/>
        <v>3057972582</v>
      </c>
      <c r="W179" s="5" t="str">
        <f t="shared" si="7"/>
        <v>nops</v>
      </c>
      <c r="X179" s="67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</row>
    <row r="180" ht="19.5" customHeight="1">
      <c r="A180" s="56" t="s">
        <v>28</v>
      </c>
      <c r="B180" s="57">
        <v>161.0</v>
      </c>
      <c r="C180" s="89">
        <f t="shared" si="8"/>
        <v>6013593271</v>
      </c>
      <c r="D180" s="89">
        <f t="shared" si="9"/>
        <v>668177030.1</v>
      </c>
      <c r="E180" s="59"/>
      <c r="F180" s="60" t="str">
        <f t="shared" si="1"/>
        <v>-</v>
      </c>
      <c r="G180" s="5" t="str">
        <f t="shared" si="2"/>
        <v>nops</v>
      </c>
      <c r="H180" s="94"/>
      <c r="I180" s="91" t="str">
        <f t="shared" si="10"/>
        <v/>
      </c>
      <c r="J180" s="91" t="str">
        <f t="shared" si="3"/>
        <v/>
      </c>
      <c r="K180" s="68" t="str">
        <f t="shared" si="11"/>
        <v/>
      </c>
      <c r="L180" s="64"/>
      <c r="M180" s="65"/>
      <c r="N180" s="65"/>
      <c r="O180" s="65"/>
      <c r="P180" s="4"/>
      <c r="Q180" s="4"/>
      <c r="R180" s="4"/>
      <c r="S180" s="4"/>
      <c r="T180" s="4"/>
      <c r="U180" s="4"/>
      <c r="V180" s="8">
        <f t="shared" si="12"/>
        <v>3440219155</v>
      </c>
      <c r="W180" s="5" t="str">
        <f t="shared" si="7"/>
        <v>nops</v>
      </c>
      <c r="X180" s="67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</row>
    <row r="181" ht="19.5" customHeight="1">
      <c r="A181" s="56" t="s">
        <v>28</v>
      </c>
      <c r="B181" s="57">
        <v>162.0</v>
      </c>
      <c r="C181" s="89">
        <f t="shared" si="8"/>
        <v>6765292429</v>
      </c>
      <c r="D181" s="89">
        <f t="shared" si="9"/>
        <v>751699158.8</v>
      </c>
      <c r="E181" s="59"/>
      <c r="F181" s="60" t="str">
        <f t="shared" si="1"/>
        <v>-</v>
      </c>
      <c r="G181" s="5" t="str">
        <f t="shared" si="2"/>
        <v>nops</v>
      </c>
      <c r="H181" s="94"/>
      <c r="I181" s="91" t="str">
        <f t="shared" si="10"/>
        <v/>
      </c>
      <c r="J181" s="91" t="str">
        <f t="shared" si="3"/>
        <v/>
      </c>
      <c r="K181" s="68" t="str">
        <f t="shared" si="11"/>
        <v/>
      </c>
      <c r="L181" s="64"/>
      <c r="M181" s="65"/>
      <c r="N181" s="65"/>
      <c r="O181" s="65"/>
      <c r="P181" s="4"/>
      <c r="Q181" s="4"/>
      <c r="R181" s="4"/>
      <c r="S181" s="4"/>
      <c r="T181" s="4"/>
      <c r="U181" s="4"/>
      <c r="V181" s="8">
        <f t="shared" si="12"/>
        <v>3870246550</v>
      </c>
      <c r="W181" s="5" t="str">
        <f t="shared" si="7"/>
        <v>nops</v>
      </c>
      <c r="X181" s="67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</row>
    <row r="182" ht="19.5" customHeight="1">
      <c r="A182" s="56" t="s">
        <v>28</v>
      </c>
      <c r="B182" s="57">
        <v>163.0</v>
      </c>
      <c r="C182" s="89">
        <f t="shared" si="8"/>
        <v>7610953983</v>
      </c>
      <c r="D182" s="89">
        <f t="shared" si="9"/>
        <v>845661553.7</v>
      </c>
      <c r="E182" s="59"/>
      <c r="F182" s="60" t="str">
        <f t="shared" si="1"/>
        <v>-</v>
      </c>
      <c r="G182" s="5" t="str">
        <f t="shared" si="2"/>
        <v>nops</v>
      </c>
      <c r="H182" s="94"/>
      <c r="I182" s="91" t="str">
        <f t="shared" si="10"/>
        <v/>
      </c>
      <c r="J182" s="91" t="str">
        <f t="shared" si="3"/>
        <v/>
      </c>
      <c r="K182" s="68" t="str">
        <f t="shared" si="11"/>
        <v/>
      </c>
      <c r="L182" s="64"/>
      <c r="M182" s="65"/>
      <c r="N182" s="65"/>
      <c r="O182" s="65"/>
      <c r="P182" s="4"/>
      <c r="Q182" s="4"/>
      <c r="R182" s="4"/>
      <c r="S182" s="4"/>
      <c r="T182" s="4"/>
      <c r="U182" s="4"/>
      <c r="V182" s="8">
        <f t="shared" si="12"/>
        <v>4354027368</v>
      </c>
      <c r="W182" s="5" t="str">
        <f t="shared" si="7"/>
        <v>nops</v>
      </c>
      <c r="X182" s="67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</row>
    <row r="183" ht="19.5" customHeight="1">
      <c r="A183" s="56" t="s">
        <v>28</v>
      </c>
      <c r="B183" s="57">
        <v>164.0</v>
      </c>
      <c r="C183" s="89">
        <f t="shared" si="8"/>
        <v>8562323231</v>
      </c>
      <c r="D183" s="89">
        <f t="shared" si="9"/>
        <v>951369247.9</v>
      </c>
      <c r="E183" s="59"/>
      <c r="F183" s="60" t="str">
        <f t="shared" si="1"/>
        <v>-</v>
      </c>
      <c r="G183" s="5" t="str">
        <f t="shared" si="2"/>
        <v>nops</v>
      </c>
      <c r="H183" s="94"/>
      <c r="I183" s="91" t="str">
        <f t="shared" si="10"/>
        <v/>
      </c>
      <c r="J183" s="91" t="str">
        <f t="shared" si="3"/>
        <v/>
      </c>
      <c r="K183" s="68" t="str">
        <f t="shared" si="11"/>
        <v/>
      </c>
      <c r="L183" s="64"/>
      <c r="M183" s="65"/>
      <c r="N183" s="65"/>
      <c r="O183" s="65"/>
      <c r="P183" s="4"/>
      <c r="Q183" s="4"/>
      <c r="R183" s="4"/>
      <c r="S183" s="4"/>
      <c r="T183" s="4"/>
      <c r="U183" s="4"/>
      <c r="V183" s="8">
        <f t="shared" si="12"/>
        <v>4898280789</v>
      </c>
      <c r="W183" s="5" t="str">
        <f t="shared" si="7"/>
        <v>nops</v>
      </c>
      <c r="X183" s="67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</row>
    <row r="184" ht="19.5" customHeight="1">
      <c r="A184" s="56" t="s">
        <v>28</v>
      </c>
      <c r="B184" s="57">
        <v>165.0</v>
      </c>
      <c r="C184" s="89">
        <f t="shared" si="8"/>
        <v>9632613635</v>
      </c>
      <c r="D184" s="89">
        <f t="shared" si="9"/>
        <v>1070290404</v>
      </c>
      <c r="E184" s="59"/>
      <c r="F184" s="60" t="str">
        <f t="shared" si="1"/>
        <v>-</v>
      </c>
      <c r="G184" s="5" t="str">
        <f t="shared" si="2"/>
        <v>nops</v>
      </c>
      <c r="H184" s="94"/>
      <c r="I184" s="91" t="str">
        <f t="shared" si="10"/>
        <v/>
      </c>
      <c r="J184" s="91" t="str">
        <f t="shared" si="3"/>
        <v/>
      </c>
      <c r="K184" s="68" t="str">
        <f t="shared" si="11"/>
        <v/>
      </c>
      <c r="L184" s="64"/>
      <c r="M184" s="65"/>
      <c r="N184" s="65"/>
      <c r="O184" s="65"/>
      <c r="P184" s="4"/>
      <c r="Q184" s="4"/>
      <c r="R184" s="4"/>
      <c r="S184" s="4"/>
      <c r="T184" s="4"/>
      <c r="U184" s="4"/>
      <c r="V184" s="8">
        <f t="shared" si="12"/>
        <v>5510565888</v>
      </c>
      <c r="W184" s="5" t="str">
        <f t="shared" si="7"/>
        <v>nops</v>
      </c>
      <c r="X184" s="67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</row>
    <row r="185" ht="19.5" customHeight="1">
      <c r="A185" s="56" t="s">
        <v>28</v>
      </c>
      <c r="B185" s="57">
        <v>166.0</v>
      </c>
      <c r="C185" s="89">
        <f t="shared" si="8"/>
        <v>10836690339</v>
      </c>
      <c r="D185" s="89">
        <f t="shared" si="9"/>
        <v>1204076704</v>
      </c>
      <c r="E185" s="59"/>
      <c r="F185" s="60" t="str">
        <f t="shared" si="1"/>
        <v>-</v>
      </c>
      <c r="G185" s="5" t="str">
        <f t="shared" si="2"/>
        <v>nops</v>
      </c>
      <c r="H185" s="94"/>
      <c r="I185" s="91" t="str">
        <f t="shared" si="10"/>
        <v/>
      </c>
      <c r="J185" s="91" t="str">
        <f t="shared" si="3"/>
        <v/>
      </c>
      <c r="K185" s="68" t="str">
        <f t="shared" si="11"/>
        <v/>
      </c>
      <c r="L185" s="64"/>
      <c r="M185" s="65"/>
      <c r="N185" s="65"/>
      <c r="O185" s="65"/>
      <c r="P185" s="4"/>
      <c r="Q185" s="4"/>
      <c r="R185" s="4"/>
      <c r="S185" s="4"/>
      <c r="T185" s="4"/>
      <c r="U185" s="4"/>
      <c r="V185" s="8">
        <f t="shared" si="12"/>
        <v>6199386624</v>
      </c>
      <c r="W185" s="5" t="str">
        <f t="shared" si="7"/>
        <v>nops</v>
      </c>
      <c r="X185" s="67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</row>
    <row r="186" ht="19.5" customHeight="1">
      <c r="A186" s="56" t="s">
        <v>28</v>
      </c>
      <c r="B186" s="57">
        <v>167.0</v>
      </c>
      <c r="C186" s="89">
        <f t="shared" si="8"/>
        <v>12191276632</v>
      </c>
      <c r="D186" s="89">
        <f t="shared" si="9"/>
        <v>1354586292</v>
      </c>
      <c r="E186" s="59"/>
      <c r="F186" s="60" t="str">
        <f t="shared" si="1"/>
        <v>-</v>
      </c>
      <c r="G186" s="5" t="str">
        <f t="shared" si="2"/>
        <v>nops</v>
      </c>
      <c r="H186" s="94"/>
      <c r="I186" s="91" t="str">
        <f t="shared" si="10"/>
        <v/>
      </c>
      <c r="J186" s="91" t="str">
        <f t="shared" si="3"/>
        <v/>
      </c>
      <c r="K186" s="68" t="str">
        <f t="shared" si="11"/>
        <v/>
      </c>
      <c r="L186" s="64"/>
      <c r="M186" s="65"/>
      <c r="N186" s="65"/>
      <c r="O186" s="65"/>
      <c r="P186" s="4"/>
      <c r="Q186" s="4"/>
      <c r="R186" s="4"/>
      <c r="S186" s="4"/>
      <c r="T186" s="4"/>
      <c r="U186" s="4"/>
      <c r="V186" s="8">
        <f t="shared" si="12"/>
        <v>6974309952</v>
      </c>
      <c r="W186" s="5" t="str">
        <f t="shared" si="7"/>
        <v>nops</v>
      </c>
      <c r="X186" s="67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</row>
    <row r="187" ht="19.5" customHeight="1">
      <c r="A187" s="56" t="s">
        <v>28</v>
      </c>
      <c r="B187" s="57">
        <v>168.0</v>
      </c>
      <c r="C187" s="89">
        <f t="shared" si="8"/>
        <v>13715186210</v>
      </c>
      <c r="D187" s="89">
        <f t="shared" si="9"/>
        <v>1523909579</v>
      </c>
      <c r="E187" s="59"/>
      <c r="F187" s="60" t="str">
        <f t="shared" si="1"/>
        <v>-</v>
      </c>
      <c r="G187" s="5" t="str">
        <f t="shared" si="2"/>
        <v>nops</v>
      </c>
      <c r="H187" s="94"/>
      <c r="I187" s="91" t="str">
        <f t="shared" si="10"/>
        <v/>
      </c>
      <c r="J187" s="91" t="str">
        <f t="shared" si="3"/>
        <v/>
      </c>
      <c r="K187" s="68" t="str">
        <f t="shared" si="11"/>
        <v/>
      </c>
      <c r="L187" s="64"/>
      <c r="M187" s="65"/>
      <c r="N187" s="65"/>
      <c r="O187" s="65"/>
      <c r="P187" s="4"/>
      <c r="Q187" s="4"/>
      <c r="R187" s="4"/>
      <c r="S187" s="4"/>
      <c r="T187" s="4"/>
      <c r="U187" s="4"/>
      <c r="V187" s="8">
        <f t="shared" si="12"/>
        <v>7846098696</v>
      </c>
      <c r="W187" s="5" t="str">
        <f t="shared" si="7"/>
        <v>nops</v>
      </c>
      <c r="X187" s="67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</row>
    <row r="188" ht="19.5" customHeight="1">
      <c r="A188" s="56" t="s">
        <v>28</v>
      </c>
      <c r="B188" s="57">
        <v>169.0</v>
      </c>
      <c r="C188" s="89">
        <f t="shared" si="8"/>
        <v>15429584487</v>
      </c>
      <c r="D188" s="89">
        <f t="shared" si="9"/>
        <v>1714398276</v>
      </c>
      <c r="E188" s="59"/>
      <c r="F188" s="60" t="str">
        <f t="shared" si="1"/>
        <v>-</v>
      </c>
      <c r="G188" s="5" t="str">
        <f t="shared" si="2"/>
        <v>nops</v>
      </c>
      <c r="H188" s="94"/>
      <c r="I188" s="91" t="str">
        <f t="shared" si="10"/>
        <v/>
      </c>
      <c r="J188" s="91" t="str">
        <f t="shared" si="3"/>
        <v/>
      </c>
      <c r="K188" s="68" t="str">
        <f t="shared" si="11"/>
        <v/>
      </c>
      <c r="L188" s="64"/>
      <c r="M188" s="65"/>
      <c r="N188" s="65"/>
      <c r="O188" s="65"/>
      <c r="P188" s="4"/>
      <c r="Q188" s="4"/>
      <c r="R188" s="4"/>
      <c r="S188" s="4"/>
      <c r="T188" s="4"/>
      <c r="U188" s="4"/>
      <c r="V188" s="8">
        <f t="shared" si="12"/>
        <v>8826861033</v>
      </c>
      <c r="W188" s="5" t="str">
        <f t="shared" si="7"/>
        <v>nops</v>
      </c>
      <c r="X188" s="67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</row>
    <row r="189" ht="19.5" customHeight="1">
      <c r="A189" s="56" t="s">
        <v>28</v>
      </c>
      <c r="B189" s="57">
        <v>170.0</v>
      </c>
      <c r="C189" s="89">
        <f t="shared" si="8"/>
        <v>17358282548</v>
      </c>
      <c r="D189" s="89">
        <f t="shared" si="9"/>
        <v>1928698061</v>
      </c>
      <c r="E189" s="59"/>
      <c r="F189" s="60" t="str">
        <f t="shared" si="1"/>
        <v>-</v>
      </c>
      <c r="G189" s="5" t="str">
        <f t="shared" si="2"/>
        <v>nops</v>
      </c>
      <c r="H189" s="94"/>
      <c r="I189" s="91" t="str">
        <f t="shared" si="10"/>
        <v/>
      </c>
      <c r="J189" s="91" t="str">
        <f t="shared" si="3"/>
        <v/>
      </c>
      <c r="K189" s="68" t="str">
        <f t="shared" si="11"/>
        <v/>
      </c>
      <c r="L189" s="64"/>
      <c r="M189" s="65"/>
      <c r="N189" s="65"/>
      <c r="O189" s="65"/>
      <c r="P189" s="4"/>
      <c r="Q189" s="4"/>
      <c r="R189" s="4"/>
      <c r="S189" s="4"/>
      <c r="T189" s="4"/>
      <c r="U189" s="4"/>
      <c r="V189" s="8">
        <f t="shared" si="12"/>
        <v>9930218662</v>
      </c>
      <c r="W189" s="5" t="str">
        <f t="shared" si="7"/>
        <v>nops</v>
      </c>
      <c r="X189" s="67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</row>
    <row r="190" ht="19.5" customHeight="1">
      <c r="A190" s="56" t="s">
        <v>28</v>
      </c>
      <c r="B190" s="57">
        <v>171.0</v>
      </c>
      <c r="C190" s="89">
        <f t="shared" si="8"/>
        <v>19528067866</v>
      </c>
      <c r="D190" s="89">
        <f t="shared" si="9"/>
        <v>2169785318</v>
      </c>
      <c r="E190" s="59"/>
      <c r="F190" s="60" t="str">
        <f t="shared" si="1"/>
        <v>-</v>
      </c>
      <c r="G190" s="5" t="str">
        <f t="shared" si="2"/>
        <v>nops</v>
      </c>
      <c r="H190" s="94"/>
      <c r="I190" s="91" t="str">
        <f t="shared" si="10"/>
        <v/>
      </c>
      <c r="J190" s="91" t="str">
        <f t="shared" si="3"/>
        <v/>
      </c>
      <c r="K190" s="68" t="str">
        <f t="shared" si="11"/>
        <v/>
      </c>
      <c r="L190" s="64"/>
      <c r="M190" s="65"/>
      <c r="N190" s="65"/>
      <c r="O190" s="65"/>
      <c r="P190" s="4"/>
      <c r="Q190" s="4"/>
      <c r="R190" s="4"/>
      <c r="S190" s="4"/>
      <c r="T190" s="4"/>
      <c r="U190" s="4"/>
      <c r="V190" s="8">
        <f t="shared" si="12"/>
        <v>11171495995</v>
      </c>
      <c r="W190" s="5" t="str">
        <f t="shared" si="7"/>
        <v>nops</v>
      </c>
      <c r="X190" s="67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</row>
    <row r="191" ht="19.5" customHeight="1">
      <c r="A191" s="56" t="s">
        <v>28</v>
      </c>
      <c r="B191" s="57">
        <v>172.0</v>
      </c>
      <c r="C191" s="89">
        <f t="shared" si="8"/>
        <v>21969076349</v>
      </c>
      <c r="D191" s="89">
        <f t="shared" si="9"/>
        <v>2441008483</v>
      </c>
      <c r="E191" s="59"/>
      <c r="F191" s="60" t="str">
        <f t="shared" si="1"/>
        <v>-</v>
      </c>
      <c r="G191" s="5" t="str">
        <f t="shared" si="2"/>
        <v>nops</v>
      </c>
      <c r="H191" s="94"/>
      <c r="I191" s="91" t="str">
        <f t="shared" si="10"/>
        <v/>
      </c>
      <c r="J191" s="91" t="str">
        <f t="shared" si="3"/>
        <v/>
      </c>
      <c r="K191" s="68" t="str">
        <f t="shared" si="11"/>
        <v/>
      </c>
      <c r="L191" s="64"/>
      <c r="M191" s="65"/>
      <c r="N191" s="65"/>
      <c r="O191" s="65"/>
      <c r="P191" s="4"/>
      <c r="Q191" s="4"/>
      <c r="R191" s="4"/>
      <c r="S191" s="4"/>
      <c r="T191" s="4"/>
      <c r="U191" s="4"/>
      <c r="V191" s="8">
        <f t="shared" si="12"/>
        <v>12567932995</v>
      </c>
      <c r="W191" s="5" t="str">
        <f t="shared" si="7"/>
        <v>nops</v>
      </c>
      <c r="X191" s="67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</row>
    <row r="192" ht="19.5" customHeight="1">
      <c r="A192" s="56" t="s">
        <v>28</v>
      </c>
      <c r="B192" s="57">
        <v>173.0</v>
      </c>
      <c r="C192" s="89">
        <f t="shared" si="8"/>
        <v>24715210893</v>
      </c>
      <c r="D192" s="89">
        <f t="shared" si="9"/>
        <v>2746134544</v>
      </c>
      <c r="E192" s="59"/>
      <c r="F192" s="60" t="str">
        <f t="shared" si="1"/>
        <v>-</v>
      </c>
      <c r="G192" s="5" t="str">
        <f t="shared" si="2"/>
        <v>nops</v>
      </c>
      <c r="H192" s="94"/>
      <c r="I192" s="91" t="str">
        <f t="shared" si="10"/>
        <v/>
      </c>
      <c r="J192" s="91" t="str">
        <f t="shared" si="3"/>
        <v/>
      </c>
      <c r="K192" s="68" t="str">
        <f t="shared" si="11"/>
        <v/>
      </c>
      <c r="L192" s="64"/>
      <c r="M192" s="65"/>
      <c r="N192" s="65"/>
      <c r="O192" s="65"/>
      <c r="P192" s="4"/>
      <c r="Q192" s="4"/>
      <c r="R192" s="4"/>
      <c r="S192" s="4"/>
      <c r="T192" s="4"/>
      <c r="U192" s="4"/>
      <c r="V192" s="8">
        <f t="shared" si="12"/>
        <v>14138924619</v>
      </c>
      <c r="W192" s="5" t="str">
        <f t="shared" si="7"/>
        <v>nops</v>
      </c>
      <c r="X192" s="67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</row>
    <row r="193" ht="19.5" customHeight="1">
      <c r="A193" s="56" t="s">
        <v>28</v>
      </c>
      <c r="B193" s="57">
        <v>174.0</v>
      </c>
      <c r="C193" s="89">
        <f t="shared" si="8"/>
        <v>27804612255</v>
      </c>
      <c r="D193" s="89">
        <f t="shared" si="9"/>
        <v>3089401362</v>
      </c>
      <c r="E193" s="59"/>
      <c r="F193" s="60" t="str">
        <f t="shared" si="1"/>
        <v>-</v>
      </c>
      <c r="G193" s="5" t="str">
        <f t="shared" si="2"/>
        <v>nops</v>
      </c>
      <c r="H193" s="94"/>
      <c r="I193" s="91" t="str">
        <f t="shared" si="10"/>
        <v/>
      </c>
      <c r="J193" s="91" t="str">
        <f t="shared" si="3"/>
        <v/>
      </c>
      <c r="K193" s="68" t="str">
        <f t="shared" si="11"/>
        <v/>
      </c>
      <c r="L193" s="64"/>
      <c r="M193" s="65"/>
      <c r="N193" s="65"/>
      <c r="O193" s="65"/>
      <c r="P193" s="4"/>
      <c r="Q193" s="4"/>
      <c r="R193" s="4"/>
      <c r="S193" s="4"/>
      <c r="T193" s="4"/>
      <c r="U193" s="4"/>
      <c r="V193" s="8">
        <f t="shared" si="12"/>
        <v>15906290196</v>
      </c>
      <c r="W193" s="5" t="str">
        <f t="shared" si="7"/>
        <v>nops</v>
      </c>
      <c r="X193" s="67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</row>
    <row r="194" ht="19.5" customHeight="1">
      <c r="A194" s="56" t="s">
        <v>28</v>
      </c>
      <c r="B194" s="57">
        <v>175.0</v>
      </c>
      <c r="C194" s="89">
        <f t="shared" si="8"/>
        <v>31280188786</v>
      </c>
      <c r="D194" s="89">
        <f t="shared" si="9"/>
        <v>3475576532</v>
      </c>
      <c r="E194" s="59"/>
      <c r="F194" s="60" t="str">
        <f t="shared" si="1"/>
        <v>-</v>
      </c>
      <c r="G194" s="5" t="str">
        <f t="shared" si="2"/>
        <v>nops</v>
      </c>
      <c r="H194" s="94"/>
      <c r="I194" s="91" t="str">
        <f t="shared" si="10"/>
        <v/>
      </c>
      <c r="J194" s="91" t="str">
        <f t="shared" si="3"/>
        <v/>
      </c>
      <c r="K194" s="68" t="str">
        <f t="shared" si="11"/>
        <v/>
      </c>
      <c r="L194" s="64"/>
      <c r="M194" s="65"/>
      <c r="N194" s="65"/>
      <c r="O194" s="65"/>
      <c r="P194" s="4"/>
      <c r="Q194" s="4"/>
      <c r="R194" s="4"/>
      <c r="S194" s="4"/>
      <c r="T194" s="4"/>
      <c r="U194" s="4"/>
      <c r="V194" s="8">
        <f t="shared" si="12"/>
        <v>17894576471</v>
      </c>
      <c r="W194" s="5" t="str">
        <f t="shared" si="7"/>
        <v>nops</v>
      </c>
      <c r="X194" s="67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</row>
    <row r="195" ht="19.5" customHeight="1">
      <c r="A195" s="56" t="s">
        <v>28</v>
      </c>
      <c r="B195" s="57">
        <v>176.0</v>
      </c>
      <c r="C195" s="89">
        <f t="shared" si="8"/>
        <v>35190212385</v>
      </c>
      <c r="D195" s="89">
        <f t="shared" si="9"/>
        <v>3910023598</v>
      </c>
      <c r="E195" s="59"/>
      <c r="F195" s="60" t="str">
        <f t="shared" si="1"/>
        <v>-</v>
      </c>
      <c r="G195" s="5" t="str">
        <f t="shared" si="2"/>
        <v>nops</v>
      </c>
      <c r="H195" s="94"/>
      <c r="I195" s="91" t="str">
        <f t="shared" si="10"/>
        <v/>
      </c>
      <c r="J195" s="91" t="str">
        <f t="shared" si="3"/>
        <v/>
      </c>
      <c r="K195" s="68" t="str">
        <f t="shared" si="11"/>
        <v/>
      </c>
      <c r="L195" s="64"/>
      <c r="M195" s="65"/>
      <c r="N195" s="65"/>
      <c r="O195" s="65"/>
      <c r="P195" s="4"/>
      <c r="Q195" s="4"/>
      <c r="R195" s="4"/>
      <c r="S195" s="4"/>
      <c r="T195" s="4"/>
      <c r="U195" s="4"/>
      <c r="V195" s="8">
        <f t="shared" si="12"/>
        <v>20131398530</v>
      </c>
      <c r="W195" s="5" t="str">
        <f t="shared" si="7"/>
        <v>nops</v>
      </c>
      <c r="X195" s="67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</row>
    <row r="196" ht="19.5" customHeight="1">
      <c r="A196" s="56" t="s">
        <v>28</v>
      </c>
      <c r="B196" s="57">
        <v>177.0</v>
      </c>
      <c r="C196" s="89">
        <f t="shared" si="8"/>
        <v>39588988933</v>
      </c>
      <c r="D196" s="89">
        <f t="shared" si="9"/>
        <v>4398776548</v>
      </c>
      <c r="E196" s="59"/>
      <c r="F196" s="60" t="str">
        <f t="shared" si="1"/>
        <v>-</v>
      </c>
      <c r="G196" s="5" t="str">
        <f t="shared" si="2"/>
        <v>nops</v>
      </c>
      <c r="H196" s="94"/>
      <c r="I196" s="91" t="str">
        <f t="shared" si="10"/>
        <v/>
      </c>
      <c r="J196" s="91" t="str">
        <f t="shared" si="3"/>
        <v/>
      </c>
      <c r="K196" s="68" t="str">
        <f t="shared" si="11"/>
        <v/>
      </c>
      <c r="L196" s="64"/>
      <c r="M196" s="65"/>
      <c r="N196" s="65"/>
      <c r="O196" s="65"/>
      <c r="P196" s="4"/>
      <c r="Q196" s="4"/>
      <c r="R196" s="4"/>
      <c r="S196" s="4"/>
      <c r="T196" s="4"/>
      <c r="U196" s="4"/>
      <c r="V196" s="8">
        <f t="shared" si="12"/>
        <v>22647823346</v>
      </c>
      <c r="W196" s="5" t="str">
        <f t="shared" si="7"/>
        <v>nops</v>
      </c>
      <c r="X196" s="67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</row>
    <row r="197" ht="19.5" customHeight="1">
      <c r="A197" s="56" t="s">
        <v>28</v>
      </c>
      <c r="B197" s="57">
        <v>178.0</v>
      </c>
      <c r="C197" s="89">
        <f t="shared" si="8"/>
        <v>44537612549</v>
      </c>
      <c r="D197" s="89">
        <f t="shared" si="9"/>
        <v>4948623617</v>
      </c>
      <c r="E197" s="59"/>
      <c r="F197" s="60" t="str">
        <f t="shared" si="1"/>
        <v>-</v>
      </c>
      <c r="G197" s="5" t="str">
        <f t="shared" si="2"/>
        <v>nops</v>
      </c>
      <c r="H197" s="94"/>
      <c r="I197" s="91" t="str">
        <f t="shared" si="10"/>
        <v/>
      </c>
      <c r="J197" s="91" t="str">
        <f t="shared" si="3"/>
        <v/>
      </c>
      <c r="K197" s="68" t="str">
        <f t="shared" si="11"/>
        <v/>
      </c>
      <c r="L197" s="64"/>
      <c r="M197" s="65"/>
      <c r="N197" s="65"/>
      <c r="O197" s="65"/>
      <c r="P197" s="4"/>
      <c r="Q197" s="4"/>
      <c r="R197" s="4"/>
      <c r="S197" s="4"/>
      <c r="T197" s="4"/>
      <c r="U197" s="4"/>
      <c r="V197" s="8">
        <f t="shared" si="12"/>
        <v>25478801264</v>
      </c>
      <c r="W197" s="5" t="str">
        <f t="shared" si="7"/>
        <v>nops</v>
      </c>
      <c r="X197" s="67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</row>
    <row r="198" ht="19.5" customHeight="1">
      <c r="A198" s="56" t="s">
        <v>28</v>
      </c>
      <c r="B198" s="57">
        <v>179.0</v>
      </c>
      <c r="C198" s="89">
        <f t="shared" si="8"/>
        <v>50104814118</v>
      </c>
      <c r="D198" s="89">
        <f t="shared" si="9"/>
        <v>5567201569</v>
      </c>
      <c r="E198" s="59"/>
      <c r="F198" s="60" t="str">
        <f t="shared" si="1"/>
        <v>-</v>
      </c>
      <c r="G198" s="5" t="str">
        <f t="shared" si="2"/>
        <v>nops</v>
      </c>
      <c r="H198" s="94"/>
      <c r="I198" s="91" t="str">
        <f t="shared" si="10"/>
        <v/>
      </c>
      <c r="J198" s="91" t="str">
        <f t="shared" si="3"/>
        <v/>
      </c>
      <c r="K198" s="68" t="str">
        <f t="shared" si="11"/>
        <v/>
      </c>
      <c r="L198" s="64"/>
      <c r="M198" s="64"/>
      <c r="N198" s="64"/>
      <c r="O198" s="64"/>
      <c r="P198" s="4"/>
      <c r="Q198" s="4"/>
      <c r="R198" s="4"/>
      <c r="S198" s="4"/>
      <c r="T198" s="4"/>
      <c r="U198" s="4"/>
      <c r="V198" s="8">
        <f t="shared" si="12"/>
        <v>28663651422</v>
      </c>
      <c r="W198" s="5" t="str">
        <f t="shared" si="7"/>
        <v>nops</v>
      </c>
      <c r="X198" s="67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</row>
    <row r="199" ht="19.5" customHeight="1">
      <c r="A199" s="56" t="s">
        <v>28</v>
      </c>
      <c r="B199" s="57">
        <v>180.0</v>
      </c>
      <c r="C199" s="89">
        <f t="shared" si="8"/>
        <v>56367915883</v>
      </c>
      <c r="D199" s="89">
        <f t="shared" si="9"/>
        <v>6263101765</v>
      </c>
      <c r="E199" s="59"/>
      <c r="F199" s="60" t="str">
        <f t="shared" si="1"/>
        <v>-</v>
      </c>
      <c r="G199" s="5" t="str">
        <f t="shared" si="2"/>
        <v>nops</v>
      </c>
      <c r="H199" s="94"/>
      <c r="I199" s="91" t="str">
        <f t="shared" si="10"/>
        <v/>
      </c>
      <c r="J199" s="91" t="str">
        <f t="shared" si="3"/>
        <v/>
      </c>
      <c r="K199" s="68" t="str">
        <f t="shared" si="11"/>
        <v/>
      </c>
      <c r="L199" s="64"/>
      <c r="M199" s="64"/>
      <c r="N199" s="64"/>
      <c r="O199" s="64"/>
      <c r="P199" s="4"/>
      <c r="Q199" s="4"/>
      <c r="R199" s="4"/>
      <c r="S199" s="4"/>
      <c r="T199" s="4"/>
      <c r="U199" s="4"/>
      <c r="V199" s="8">
        <f t="shared" si="12"/>
        <v>32246607850</v>
      </c>
      <c r="W199" s="5" t="str">
        <f t="shared" si="7"/>
        <v>nops</v>
      </c>
      <c r="X199" s="67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</row>
    <row r="200" ht="19.5" customHeight="1">
      <c r="A200" s="56" t="s">
        <v>28</v>
      </c>
      <c r="B200" s="57">
        <v>181.0</v>
      </c>
      <c r="C200" s="89">
        <f t="shared" si="8"/>
        <v>63413905368</v>
      </c>
      <c r="D200" s="89">
        <f t="shared" si="9"/>
        <v>7045989485</v>
      </c>
      <c r="E200" s="59"/>
      <c r="F200" s="60" t="str">
        <f t="shared" si="1"/>
        <v>-</v>
      </c>
      <c r="G200" s="5" t="str">
        <f t="shared" si="2"/>
        <v>nops</v>
      </c>
      <c r="H200" s="94"/>
      <c r="I200" s="91" t="str">
        <f t="shared" si="10"/>
        <v/>
      </c>
      <c r="J200" s="91" t="str">
        <f t="shared" si="3"/>
        <v/>
      </c>
      <c r="K200" s="68" t="str">
        <f t="shared" si="11"/>
        <v/>
      </c>
      <c r="L200" s="64"/>
      <c r="M200" s="64"/>
      <c r="N200" s="64"/>
      <c r="O200" s="64"/>
      <c r="P200" s="4"/>
      <c r="Q200" s="4"/>
      <c r="R200" s="4"/>
      <c r="S200" s="4"/>
      <c r="T200" s="4"/>
      <c r="U200" s="4"/>
      <c r="V200" s="8">
        <f t="shared" si="12"/>
        <v>36277433831</v>
      </c>
      <c r="W200" s="5" t="str">
        <f t="shared" si="7"/>
        <v>nops</v>
      </c>
      <c r="X200" s="67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</row>
    <row r="201" ht="19.5" customHeight="1">
      <c r="A201" s="56" t="s">
        <v>28</v>
      </c>
      <c r="B201" s="57">
        <v>182.0</v>
      </c>
      <c r="C201" s="89">
        <f t="shared" si="8"/>
        <v>71340643539</v>
      </c>
      <c r="D201" s="89">
        <f t="shared" si="9"/>
        <v>7926738171</v>
      </c>
      <c r="E201" s="59"/>
      <c r="F201" s="60" t="str">
        <f t="shared" si="1"/>
        <v>-</v>
      </c>
      <c r="G201" s="5" t="str">
        <f t="shared" si="2"/>
        <v>nops</v>
      </c>
      <c r="H201" s="94"/>
      <c r="I201" s="91" t="str">
        <f t="shared" si="10"/>
        <v/>
      </c>
      <c r="J201" s="91" t="str">
        <f t="shared" si="3"/>
        <v/>
      </c>
      <c r="K201" s="68" t="str">
        <f t="shared" si="11"/>
        <v/>
      </c>
      <c r="L201" s="64"/>
      <c r="M201" s="64"/>
      <c r="N201" s="64"/>
      <c r="O201" s="64"/>
      <c r="P201" s="4"/>
      <c r="Q201" s="4"/>
      <c r="R201" s="4"/>
      <c r="S201" s="4"/>
      <c r="T201" s="4"/>
      <c r="U201" s="4"/>
      <c r="V201" s="8">
        <f t="shared" si="12"/>
        <v>40812113060</v>
      </c>
      <c r="W201" s="5" t="str">
        <f t="shared" si="7"/>
        <v>nops</v>
      </c>
      <c r="X201" s="67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</row>
    <row r="202" ht="19.5" customHeight="1">
      <c r="A202" s="56" t="s">
        <v>28</v>
      </c>
      <c r="B202" s="57">
        <v>183.0</v>
      </c>
      <c r="C202" s="89">
        <f t="shared" si="8"/>
        <v>80258223982</v>
      </c>
      <c r="D202" s="89">
        <f t="shared" si="9"/>
        <v>8917580442</v>
      </c>
      <c r="E202" s="59"/>
      <c r="F202" s="60" t="str">
        <f t="shared" si="1"/>
        <v>-</v>
      </c>
      <c r="G202" s="5" t="str">
        <f t="shared" si="2"/>
        <v>nops</v>
      </c>
      <c r="H202" s="94"/>
      <c r="I202" s="91" t="str">
        <f t="shared" si="10"/>
        <v/>
      </c>
      <c r="J202" s="91" t="str">
        <f t="shared" si="3"/>
        <v/>
      </c>
      <c r="K202" s="68" t="str">
        <f t="shared" si="11"/>
        <v/>
      </c>
      <c r="L202" s="64"/>
      <c r="M202" s="64"/>
      <c r="N202" s="64"/>
      <c r="O202" s="64"/>
      <c r="P202" s="4"/>
      <c r="Q202" s="4"/>
      <c r="R202" s="4"/>
      <c r="S202" s="4"/>
      <c r="T202" s="4"/>
      <c r="U202" s="4"/>
      <c r="V202" s="8">
        <f t="shared" si="12"/>
        <v>45913627192</v>
      </c>
      <c r="W202" s="5" t="str">
        <f t="shared" si="7"/>
        <v>nops</v>
      </c>
      <c r="X202" s="67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</row>
    <row r="203" ht="19.5" customHeight="1">
      <c r="A203" s="56" t="s">
        <v>28</v>
      </c>
      <c r="B203" s="57">
        <v>184.0</v>
      </c>
      <c r="C203" s="89">
        <f t="shared" si="8"/>
        <v>90290501979</v>
      </c>
      <c r="D203" s="89">
        <f t="shared" si="9"/>
        <v>10032277998</v>
      </c>
      <c r="E203" s="59"/>
      <c r="F203" s="60" t="str">
        <f t="shared" si="1"/>
        <v>-</v>
      </c>
      <c r="G203" s="5" t="str">
        <f t="shared" si="2"/>
        <v>nops</v>
      </c>
      <c r="H203" s="94"/>
      <c r="I203" s="91" t="str">
        <f t="shared" si="10"/>
        <v/>
      </c>
      <c r="J203" s="91" t="str">
        <f t="shared" si="3"/>
        <v/>
      </c>
      <c r="K203" s="68" t="str">
        <f t="shared" si="11"/>
        <v/>
      </c>
      <c r="L203" s="64"/>
      <c r="M203" s="64"/>
      <c r="N203" s="64"/>
      <c r="O203" s="64"/>
      <c r="P203" s="4"/>
      <c r="Q203" s="4"/>
      <c r="R203" s="4"/>
      <c r="S203" s="4"/>
      <c r="T203" s="4"/>
      <c r="U203" s="4"/>
      <c r="V203" s="8">
        <f t="shared" si="12"/>
        <v>51652830591</v>
      </c>
      <c r="W203" s="5" t="str">
        <f t="shared" si="7"/>
        <v>nops</v>
      </c>
      <c r="X203" s="67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</row>
    <row r="204" ht="19.5" customHeight="1">
      <c r="A204" s="56" t="s">
        <v>28</v>
      </c>
      <c r="B204" s="57">
        <v>185.0</v>
      </c>
      <c r="C204" s="89">
        <f t="shared" si="8"/>
        <v>101576814727</v>
      </c>
      <c r="D204" s="89">
        <f t="shared" si="9"/>
        <v>11286312747</v>
      </c>
      <c r="E204" s="59"/>
      <c r="F204" s="60" t="str">
        <f t="shared" si="1"/>
        <v>-</v>
      </c>
      <c r="G204" s="5" t="str">
        <f t="shared" si="2"/>
        <v>nops</v>
      </c>
      <c r="H204" s="94"/>
      <c r="I204" s="91" t="str">
        <f t="shared" si="10"/>
        <v/>
      </c>
      <c r="J204" s="91" t="str">
        <f t="shared" si="3"/>
        <v/>
      </c>
      <c r="K204" s="68" t="str">
        <f t="shared" si="11"/>
        <v/>
      </c>
      <c r="L204" s="64"/>
      <c r="M204" s="64"/>
      <c r="N204" s="64"/>
      <c r="O204" s="64"/>
      <c r="P204" s="4"/>
      <c r="Q204" s="4"/>
      <c r="R204" s="4"/>
      <c r="S204" s="4"/>
      <c r="T204" s="4"/>
      <c r="U204" s="4"/>
      <c r="V204" s="8">
        <f t="shared" si="12"/>
        <v>58109434415</v>
      </c>
      <c r="W204" s="5" t="str">
        <f t="shared" si="7"/>
        <v>nops</v>
      </c>
      <c r="X204" s="67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</row>
    <row r="205" ht="19.5" customHeight="1">
      <c r="A205" s="56" t="s">
        <v>28</v>
      </c>
      <c r="B205" s="57">
        <v>186.0</v>
      </c>
      <c r="C205" s="89">
        <f t="shared" si="8"/>
        <v>114273916568</v>
      </c>
      <c r="D205" s="89">
        <f t="shared" si="9"/>
        <v>12697101841</v>
      </c>
      <c r="E205" s="59"/>
      <c r="F205" s="60" t="str">
        <f t="shared" si="1"/>
        <v>-</v>
      </c>
      <c r="G205" s="5" t="str">
        <f t="shared" si="2"/>
        <v>nops</v>
      </c>
      <c r="H205" s="94"/>
      <c r="I205" s="91" t="str">
        <f t="shared" si="10"/>
        <v/>
      </c>
      <c r="J205" s="91" t="str">
        <f t="shared" si="3"/>
        <v/>
      </c>
      <c r="K205" s="68" t="str">
        <f t="shared" si="11"/>
        <v/>
      </c>
      <c r="L205" s="64"/>
      <c r="M205" s="64"/>
      <c r="N205" s="64"/>
      <c r="O205" s="64"/>
      <c r="P205" s="4"/>
      <c r="Q205" s="4"/>
      <c r="R205" s="4"/>
      <c r="S205" s="4"/>
      <c r="T205" s="4"/>
      <c r="U205" s="4"/>
      <c r="V205" s="8">
        <f t="shared" si="12"/>
        <v>65373113717</v>
      </c>
      <c r="W205" s="5" t="str">
        <f t="shared" si="7"/>
        <v>nops</v>
      </c>
      <c r="X205" s="67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</row>
    <row r="206" ht="19.5" customHeight="1">
      <c r="A206" s="56" t="s">
        <v>28</v>
      </c>
      <c r="B206" s="57">
        <v>187.0</v>
      </c>
      <c r="C206" s="89">
        <f t="shared" si="8"/>
        <v>128558156139</v>
      </c>
      <c r="D206" s="89">
        <f t="shared" si="9"/>
        <v>14284239571</v>
      </c>
      <c r="E206" s="59"/>
      <c r="F206" s="60" t="str">
        <f t="shared" si="1"/>
        <v>-</v>
      </c>
      <c r="G206" s="5" t="str">
        <f t="shared" si="2"/>
        <v>nops</v>
      </c>
      <c r="H206" s="94"/>
      <c r="I206" s="91" t="str">
        <f t="shared" si="10"/>
        <v/>
      </c>
      <c r="J206" s="91" t="str">
        <f t="shared" si="3"/>
        <v/>
      </c>
      <c r="K206" s="68" t="str">
        <f t="shared" si="11"/>
        <v/>
      </c>
      <c r="L206" s="64"/>
      <c r="M206" s="64"/>
      <c r="N206" s="64"/>
      <c r="O206" s="64"/>
      <c r="P206" s="4"/>
      <c r="Q206" s="4"/>
      <c r="R206" s="4"/>
      <c r="S206" s="4"/>
      <c r="T206" s="4"/>
      <c r="U206" s="4"/>
      <c r="V206" s="8">
        <f t="shared" si="12"/>
        <v>73544752932</v>
      </c>
      <c r="W206" s="5" t="str">
        <f t="shared" si="7"/>
        <v>nops</v>
      </c>
      <c r="X206" s="67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</row>
    <row r="207" ht="19.5" customHeight="1">
      <c r="A207" s="56" t="s">
        <v>28</v>
      </c>
      <c r="B207" s="57">
        <v>188.0</v>
      </c>
      <c r="C207" s="89">
        <f t="shared" si="8"/>
        <v>144627925656</v>
      </c>
      <c r="D207" s="89">
        <f t="shared" si="9"/>
        <v>16069769517</v>
      </c>
      <c r="E207" s="59"/>
      <c r="F207" s="60" t="str">
        <f t="shared" si="1"/>
        <v>-</v>
      </c>
      <c r="G207" s="5" t="str">
        <f t="shared" si="2"/>
        <v>nops</v>
      </c>
      <c r="H207" s="94"/>
      <c r="I207" s="91" t="str">
        <f t="shared" si="10"/>
        <v/>
      </c>
      <c r="J207" s="91" t="str">
        <f t="shared" si="3"/>
        <v/>
      </c>
      <c r="K207" s="68" t="str">
        <f t="shared" si="11"/>
        <v/>
      </c>
      <c r="L207" s="64"/>
      <c r="M207" s="64"/>
      <c r="N207" s="64"/>
      <c r="O207" s="64"/>
      <c r="P207" s="4"/>
      <c r="Q207" s="4"/>
      <c r="R207" s="4"/>
      <c r="S207" s="4"/>
      <c r="T207" s="4"/>
      <c r="U207" s="4"/>
      <c r="V207" s="8">
        <f t="shared" si="12"/>
        <v>82737847048</v>
      </c>
      <c r="W207" s="5" t="str">
        <f t="shared" si="7"/>
        <v>nops</v>
      </c>
      <c r="X207" s="67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</row>
    <row r="208" ht="19.5" customHeight="1">
      <c r="A208" s="56" t="s">
        <v>28</v>
      </c>
      <c r="B208" s="57">
        <v>189.0</v>
      </c>
      <c r="C208" s="89">
        <f t="shared" si="8"/>
        <v>162706416363</v>
      </c>
      <c r="D208" s="89">
        <f t="shared" si="9"/>
        <v>18078490707</v>
      </c>
      <c r="E208" s="59"/>
      <c r="F208" s="60" t="str">
        <f t="shared" si="1"/>
        <v>-</v>
      </c>
      <c r="G208" s="5" t="str">
        <f t="shared" si="2"/>
        <v>nops</v>
      </c>
      <c r="H208" s="94"/>
      <c r="I208" s="91" t="str">
        <f t="shared" si="10"/>
        <v/>
      </c>
      <c r="J208" s="91" t="str">
        <f t="shared" si="3"/>
        <v/>
      </c>
      <c r="K208" s="68" t="str">
        <f t="shared" si="11"/>
        <v/>
      </c>
      <c r="L208" s="64"/>
      <c r="M208" s="64"/>
      <c r="N208" s="64"/>
      <c r="O208" s="64"/>
      <c r="P208" s="4"/>
      <c r="Q208" s="4"/>
      <c r="R208" s="4"/>
      <c r="S208" s="4"/>
      <c r="T208" s="4"/>
      <c r="U208" s="4"/>
      <c r="V208" s="8">
        <f t="shared" si="12"/>
        <v>93080077929</v>
      </c>
      <c r="W208" s="5" t="str">
        <f t="shared" si="7"/>
        <v>nops</v>
      </c>
      <c r="X208" s="67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</row>
    <row r="209" ht="19.5" customHeight="1">
      <c r="A209" s="56" t="s">
        <v>28</v>
      </c>
      <c r="B209" s="57">
        <v>190.0</v>
      </c>
      <c r="C209" s="89">
        <f t="shared" si="8"/>
        <v>183044718408</v>
      </c>
      <c r="D209" s="89">
        <f t="shared" si="9"/>
        <v>20338302045</v>
      </c>
      <c r="E209" s="59"/>
      <c r="F209" s="60" t="str">
        <f t="shared" si="1"/>
        <v>-</v>
      </c>
      <c r="G209" s="5" t="str">
        <f t="shared" si="2"/>
        <v>nops</v>
      </c>
      <c r="H209" s="94"/>
      <c r="I209" s="91" t="str">
        <f t="shared" si="10"/>
        <v/>
      </c>
      <c r="J209" s="91" t="str">
        <f t="shared" si="3"/>
        <v/>
      </c>
      <c r="K209" s="68" t="str">
        <f t="shared" si="11"/>
        <v/>
      </c>
      <c r="L209" s="64"/>
      <c r="M209" s="64"/>
      <c r="N209" s="64"/>
      <c r="O209" s="64"/>
      <c r="P209" s="4"/>
      <c r="Q209" s="4"/>
      <c r="R209" s="4"/>
      <c r="S209" s="4"/>
      <c r="T209" s="4"/>
      <c r="U209" s="4"/>
      <c r="V209" s="8">
        <f t="shared" si="12"/>
        <v>104715087671</v>
      </c>
      <c r="W209" s="5" t="str">
        <f t="shared" si="7"/>
        <v>nops</v>
      </c>
      <c r="X209" s="67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</row>
    <row r="210" ht="19.5" customHeight="1">
      <c r="A210" s="56" t="s">
        <v>28</v>
      </c>
      <c r="B210" s="57">
        <v>191.0</v>
      </c>
      <c r="C210" s="89">
        <f t="shared" si="8"/>
        <v>205925308209</v>
      </c>
      <c r="D210" s="89">
        <f t="shared" si="9"/>
        <v>22880589801</v>
      </c>
      <c r="E210" s="59"/>
      <c r="F210" s="60" t="str">
        <f t="shared" si="1"/>
        <v>-</v>
      </c>
      <c r="G210" s="5" t="str">
        <f t="shared" si="2"/>
        <v>nops</v>
      </c>
      <c r="H210" s="94"/>
      <c r="I210" s="91" t="str">
        <f t="shared" si="10"/>
        <v/>
      </c>
      <c r="J210" s="91" t="str">
        <f t="shared" si="3"/>
        <v/>
      </c>
      <c r="K210" s="68" t="str">
        <f t="shared" si="11"/>
        <v/>
      </c>
      <c r="L210" s="64"/>
      <c r="M210" s="64"/>
      <c r="N210" s="64"/>
      <c r="O210" s="64"/>
      <c r="P210" s="4"/>
      <c r="Q210" s="4"/>
      <c r="R210" s="4"/>
      <c r="S210" s="4"/>
      <c r="T210" s="4"/>
      <c r="U210" s="4"/>
      <c r="V210" s="8">
        <f t="shared" si="12"/>
        <v>117804473629</v>
      </c>
      <c r="W210" s="5" t="str">
        <f t="shared" si="7"/>
        <v>nops</v>
      </c>
      <c r="X210" s="67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</row>
    <row r="211" ht="19.5" customHeight="1">
      <c r="A211" s="56" t="s">
        <v>28</v>
      </c>
      <c r="B211" s="57">
        <v>192.0</v>
      </c>
      <c r="C211" s="89">
        <f t="shared" si="8"/>
        <v>231665971735</v>
      </c>
      <c r="D211" s="89">
        <f t="shared" si="9"/>
        <v>25740663526</v>
      </c>
      <c r="E211" s="59"/>
      <c r="F211" s="60" t="str">
        <f t="shared" si="1"/>
        <v>-</v>
      </c>
      <c r="G211" s="5" t="str">
        <f t="shared" si="2"/>
        <v>nops</v>
      </c>
      <c r="H211" s="94"/>
      <c r="I211" s="91" t="str">
        <f t="shared" si="10"/>
        <v/>
      </c>
      <c r="J211" s="91" t="str">
        <f t="shared" si="3"/>
        <v/>
      </c>
      <c r="K211" s="68" t="str">
        <f t="shared" si="11"/>
        <v/>
      </c>
      <c r="L211" s="64"/>
      <c r="M211" s="64"/>
      <c r="N211" s="64"/>
      <c r="O211" s="64"/>
      <c r="P211" s="4"/>
      <c r="Q211" s="4"/>
      <c r="R211" s="4"/>
      <c r="S211" s="4"/>
      <c r="T211" s="4"/>
      <c r="U211" s="4"/>
      <c r="V211" s="8">
        <f t="shared" si="12"/>
        <v>132530032833</v>
      </c>
      <c r="W211" s="5" t="str">
        <f t="shared" si="7"/>
        <v>nops</v>
      </c>
      <c r="X211" s="67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</row>
    <row r="212" ht="19.5" customHeight="1">
      <c r="A212" s="56" t="s">
        <v>28</v>
      </c>
      <c r="B212" s="57">
        <v>193.0</v>
      </c>
      <c r="C212" s="89">
        <f t="shared" si="8"/>
        <v>260624218202</v>
      </c>
      <c r="D212" s="89">
        <f t="shared" si="9"/>
        <v>28958246467</v>
      </c>
      <c r="E212" s="59"/>
      <c r="F212" s="60" t="str">
        <f t="shared" si="1"/>
        <v>-</v>
      </c>
      <c r="G212" s="5" t="str">
        <f t="shared" si="2"/>
        <v>nops</v>
      </c>
      <c r="H212" s="94"/>
      <c r="I212" s="91" t="str">
        <f t="shared" si="10"/>
        <v/>
      </c>
      <c r="J212" s="91" t="str">
        <f t="shared" si="3"/>
        <v/>
      </c>
      <c r="K212" s="68" t="str">
        <f t="shared" si="11"/>
        <v/>
      </c>
      <c r="L212" s="64"/>
      <c r="M212" s="64"/>
      <c r="N212" s="64"/>
      <c r="O212" s="64"/>
      <c r="P212" s="4"/>
      <c r="Q212" s="4"/>
      <c r="R212" s="4"/>
      <c r="S212" s="4"/>
      <c r="T212" s="4"/>
      <c r="U212" s="4"/>
      <c r="V212" s="8">
        <f t="shared" si="12"/>
        <v>149096286937</v>
      </c>
      <c r="W212" s="5" t="str">
        <f t="shared" si="7"/>
        <v>nops</v>
      </c>
      <c r="X212" s="67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</row>
    <row r="213" ht="19.5" customHeight="1">
      <c r="A213" s="56" t="s">
        <v>28</v>
      </c>
      <c r="B213" s="57">
        <v>194.0</v>
      </c>
      <c r="C213" s="89">
        <f t="shared" si="8"/>
        <v>293202245478</v>
      </c>
      <c r="D213" s="89">
        <f t="shared" si="9"/>
        <v>32578027275</v>
      </c>
      <c r="E213" s="59"/>
      <c r="F213" s="60" t="str">
        <f t="shared" si="1"/>
        <v>-</v>
      </c>
      <c r="G213" s="5" t="str">
        <f t="shared" si="2"/>
        <v>nops</v>
      </c>
      <c r="H213" s="94"/>
      <c r="I213" s="91" t="str">
        <f t="shared" si="10"/>
        <v/>
      </c>
      <c r="J213" s="91" t="str">
        <f t="shared" si="3"/>
        <v/>
      </c>
      <c r="K213" s="68" t="str">
        <f t="shared" si="11"/>
        <v/>
      </c>
      <c r="L213" s="64"/>
      <c r="M213" s="64"/>
      <c r="N213" s="64"/>
      <c r="O213" s="64"/>
      <c r="P213" s="4"/>
      <c r="Q213" s="4"/>
      <c r="R213" s="4"/>
      <c r="S213" s="4"/>
      <c r="T213" s="4"/>
      <c r="U213" s="4"/>
      <c r="V213" s="8">
        <f t="shared" si="12"/>
        <v>167733322804</v>
      </c>
      <c r="W213" s="5" t="str">
        <f t="shared" si="7"/>
        <v>nops</v>
      </c>
      <c r="X213" s="67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</row>
    <row r="214" ht="19.5" customHeight="1">
      <c r="A214" s="56" t="s">
        <v>28</v>
      </c>
      <c r="B214" s="57">
        <v>195.0</v>
      </c>
      <c r="C214" s="89">
        <f t="shared" si="8"/>
        <v>329852526162</v>
      </c>
      <c r="D214" s="89">
        <f t="shared" si="9"/>
        <v>36650280685</v>
      </c>
      <c r="E214" s="59"/>
      <c r="F214" s="60" t="str">
        <f t="shared" si="1"/>
        <v>-</v>
      </c>
      <c r="G214" s="5" t="str">
        <f t="shared" si="2"/>
        <v>nops</v>
      </c>
      <c r="H214" s="94"/>
      <c r="I214" s="91" t="str">
        <f t="shared" si="10"/>
        <v/>
      </c>
      <c r="J214" s="91" t="str">
        <f t="shared" si="3"/>
        <v/>
      </c>
      <c r="K214" s="68" t="str">
        <f t="shared" si="11"/>
        <v/>
      </c>
      <c r="L214" s="64"/>
      <c r="M214" s="64"/>
      <c r="N214" s="64"/>
      <c r="O214" s="64"/>
      <c r="P214" s="4"/>
      <c r="Q214" s="4"/>
      <c r="R214" s="4"/>
      <c r="S214" s="4"/>
      <c r="T214" s="4"/>
      <c r="U214" s="4"/>
      <c r="V214" s="8">
        <f t="shared" si="12"/>
        <v>188699988155</v>
      </c>
      <c r="W214" s="5" t="str">
        <f t="shared" si="7"/>
        <v>nops</v>
      </c>
      <c r="X214" s="67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</row>
    <row r="215" ht="19.5" customHeight="1">
      <c r="A215" s="56" t="s">
        <v>28</v>
      </c>
      <c r="B215" s="57">
        <v>196.0</v>
      </c>
      <c r="C215" s="89">
        <f t="shared" si="8"/>
        <v>371084091933</v>
      </c>
      <c r="D215" s="89">
        <f t="shared" si="9"/>
        <v>41231565770</v>
      </c>
      <c r="E215" s="59"/>
      <c r="F215" s="60" t="str">
        <f t="shared" si="1"/>
        <v>-</v>
      </c>
      <c r="G215" s="5" t="str">
        <f t="shared" si="2"/>
        <v>nops</v>
      </c>
      <c r="H215" s="94"/>
      <c r="I215" s="91" t="str">
        <f t="shared" si="10"/>
        <v/>
      </c>
      <c r="J215" s="91" t="str">
        <f t="shared" si="3"/>
        <v/>
      </c>
      <c r="K215" s="68" t="str">
        <f t="shared" si="11"/>
        <v/>
      </c>
      <c r="L215" s="64"/>
      <c r="M215" s="64"/>
      <c r="N215" s="64"/>
      <c r="O215" s="64"/>
      <c r="P215" s="4"/>
      <c r="Q215" s="4"/>
      <c r="R215" s="4"/>
      <c r="S215" s="4"/>
      <c r="T215" s="4"/>
      <c r="U215" s="4"/>
      <c r="V215" s="8">
        <f t="shared" si="12"/>
        <v>212287486674</v>
      </c>
      <c r="W215" s="5" t="str">
        <f t="shared" si="7"/>
        <v>nops</v>
      </c>
      <c r="X215" s="67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</row>
    <row r="216" ht="19.5" customHeight="1">
      <c r="A216" s="56" t="s">
        <v>28</v>
      </c>
      <c r="B216" s="57">
        <v>197.0</v>
      </c>
      <c r="C216" s="89">
        <f t="shared" si="8"/>
        <v>417469603424</v>
      </c>
      <c r="D216" s="89">
        <f t="shared" si="9"/>
        <v>46385511492</v>
      </c>
      <c r="E216" s="59"/>
      <c r="F216" s="60" t="str">
        <f t="shared" si="1"/>
        <v>-</v>
      </c>
      <c r="G216" s="5" t="str">
        <f t="shared" si="2"/>
        <v>nops</v>
      </c>
      <c r="H216" s="94"/>
      <c r="I216" s="91" t="str">
        <f t="shared" si="10"/>
        <v/>
      </c>
      <c r="J216" s="91" t="str">
        <f t="shared" si="3"/>
        <v/>
      </c>
      <c r="K216" s="68" t="str">
        <f t="shared" si="11"/>
        <v/>
      </c>
      <c r="L216" s="64"/>
      <c r="M216" s="64"/>
      <c r="N216" s="64"/>
      <c r="O216" s="64"/>
      <c r="P216" s="4"/>
      <c r="Q216" s="4"/>
      <c r="R216" s="4"/>
      <c r="S216" s="4"/>
      <c r="T216" s="4"/>
      <c r="U216" s="4"/>
      <c r="V216" s="8">
        <f t="shared" si="12"/>
        <v>238823422509</v>
      </c>
      <c r="W216" s="5" t="str">
        <f t="shared" si="7"/>
        <v>nops</v>
      </c>
      <c r="X216" s="67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</row>
    <row r="217" ht="19.5" customHeight="1">
      <c r="A217" s="56" t="s">
        <v>28</v>
      </c>
      <c r="B217" s="57">
        <v>198.0</v>
      </c>
      <c r="C217" s="89">
        <f t="shared" si="8"/>
        <v>469653303852</v>
      </c>
      <c r="D217" s="89">
        <f t="shared" si="9"/>
        <v>52183700428</v>
      </c>
      <c r="E217" s="59"/>
      <c r="F217" s="60" t="str">
        <f t="shared" si="1"/>
        <v>-</v>
      </c>
      <c r="G217" s="5" t="str">
        <f t="shared" si="2"/>
        <v>nops</v>
      </c>
      <c r="H217" s="94"/>
      <c r="I217" s="91" t="str">
        <f t="shared" si="10"/>
        <v/>
      </c>
      <c r="J217" s="91" t="str">
        <f t="shared" si="3"/>
        <v/>
      </c>
      <c r="K217" s="68" t="str">
        <f t="shared" si="11"/>
        <v/>
      </c>
      <c r="L217" s="64"/>
      <c r="M217" s="64"/>
      <c r="N217" s="64"/>
      <c r="O217" s="64"/>
      <c r="P217" s="4"/>
      <c r="Q217" s="4"/>
      <c r="R217" s="4"/>
      <c r="S217" s="4"/>
      <c r="T217" s="4"/>
      <c r="U217" s="4"/>
      <c r="V217" s="8">
        <f t="shared" si="12"/>
        <v>268676350322</v>
      </c>
      <c r="W217" s="5" t="str">
        <f t="shared" si="7"/>
        <v>nops</v>
      </c>
      <c r="X217" s="67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</row>
    <row r="218" ht="19.5" customHeight="1">
      <c r="A218" s="56" t="s">
        <v>28</v>
      </c>
      <c r="B218" s="57">
        <v>199.0</v>
      </c>
      <c r="C218" s="89">
        <f t="shared" si="8"/>
        <v>528359966834</v>
      </c>
      <c r="D218" s="89">
        <f t="shared" si="9"/>
        <v>58706662982</v>
      </c>
      <c r="E218" s="59"/>
      <c r="F218" s="60" t="str">
        <f t="shared" si="1"/>
        <v>-</v>
      </c>
      <c r="G218" s="5" t="str">
        <f t="shared" si="2"/>
        <v>nops</v>
      </c>
      <c r="H218" s="94"/>
      <c r="I218" s="91" t="str">
        <f t="shared" si="10"/>
        <v/>
      </c>
      <c r="J218" s="91" t="str">
        <f t="shared" si="3"/>
        <v/>
      </c>
      <c r="K218" s="68" t="str">
        <f t="shared" si="11"/>
        <v/>
      </c>
      <c r="L218" s="64"/>
      <c r="M218" s="64"/>
      <c r="N218" s="64"/>
      <c r="O218" s="64"/>
      <c r="P218" s="4"/>
      <c r="Q218" s="4"/>
      <c r="R218" s="4"/>
      <c r="S218" s="4"/>
      <c r="T218" s="4"/>
      <c r="U218" s="4"/>
      <c r="V218" s="8">
        <f t="shared" si="12"/>
        <v>302260894112</v>
      </c>
      <c r="W218" s="5" t="str">
        <f t="shared" si="7"/>
        <v>nops</v>
      </c>
      <c r="X218" s="67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</row>
    <row r="219" ht="19.5" customHeight="1">
      <c r="A219" s="56" t="s">
        <v>28</v>
      </c>
      <c r="B219" s="57">
        <v>200.0</v>
      </c>
      <c r="C219" s="89">
        <f t="shared" si="8"/>
        <v>594404962688</v>
      </c>
      <c r="D219" s="89">
        <f t="shared" si="9"/>
        <v>66044995854</v>
      </c>
      <c r="E219" s="59"/>
      <c r="F219" s="60" t="str">
        <f t="shared" si="1"/>
        <v>-</v>
      </c>
      <c r="G219" s="5" t="str">
        <f t="shared" si="2"/>
        <v>nops</v>
      </c>
      <c r="H219" s="94"/>
      <c r="I219" s="91" t="str">
        <f t="shared" si="10"/>
        <v/>
      </c>
      <c r="J219" s="91" t="str">
        <f t="shared" si="3"/>
        <v/>
      </c>
      <c r="K219" s="68" t="str">
        <f t="shared" si="11"/>
        <v/>
      </c>
      <c r="L219" s="64"/>
      <c r="M219" s="64"/>
      <c r="N219" s="64"/>
      <c r="O219" s="64"/>
      <c r="P219" s="4"/>
      <c r="Q219" s="4"/>
      <c r="R219" s="4"/>
      <c r="S219" s="4"/>
      <c r="T219" s="4"/>
      <c r="U219" s="4"/>
      <c r="V219" s="8">
        <f t="shared" si="12"/>
        <v>340043505876</v>
      </c>
      <c r="W219" s="5" t="str">
        <f t="shared" si="7"/>
        <v>nops</v>
      </c>
      <c r="X219" s="67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</row>
    <row r="220" ht="19.5" customHeight="1">
      <c r="A220" s="56" t="s">
        <v>28</v>
      </c>
      <c r="B220" s="57">
        <v>201.0</v>
      </c>
      <c r="C220" s="89">
        <f t="shared" si="8"/>
        <v>668705583024</v>
      </c>
      <c r="D220" s="89">
        <f t="shared" si="9"/>
        <v>74300620336</v>
      </c>
      <c r="E220" s="59"/>
      <c r="F220" s="60" t="str">
        <f t="shared" si="1"/>
        <v>-</v>
      </c>
      <c r="G220" s="5" t="str">
        <f t="shared" si="2"/>
        <v>nops</v>
      </c>
      <c r="H220" s="94"/>
      <c r="I220" s="91" t="str">
        <f t="shared" si="10"/>
        <v/>
      </c>
      <c r="J220" s="91" t="str">
        <f t="shared" si="3"/>
        <v/>
      </c>
      <c r="K220" s="68" t="str">
        <f t="shared" si="11"/>
        <v/>
      </c>
      <c r="L220" s="64"/>
      <c r="M220" s="64"/>
      <c r="N220" s="64"/>
      <c r="O220" s="64"/>
      <c r="P220" s="4"/>
      <c r="Q220" s="4"/>
      <c r="R220" s="4"/>
      <c r="S220" s="4"/>
      <c r="T220" s="4"/>
      <c r="U220" s="4"/>
      <c r="V220" s="8">
        <f t="shared" si="12"/>
        <v>382548944111</v>
      </c>
      <c r="W220" s="5" t="str">
        <f t="shared" si="7"/>
        <v>nops</v>
      </c>
      <c r="X220" s="67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</row>
    <row r="221" ht="19.5" customHeight="1">
      <c r="A221" s="56" t="s">
        <v>28</v>
      </c>
      <c r="B221" s="57">
        <v>202.0</v>
      </c>
      <c r="C221" s="89">
        <f t="shared" si="8"/>
        <v>752293780902</v>
      </c>
      <c r="D221" s="89">
        <f t="shared" si="9"/>
        <v>83588197878</v>
      </c>
      <c r="E221" s="59"/>
      <c r="F221" s="60" t="str">
        <f t="shared" si="1"/>
        <v>-</v>
      </c>
      <c r="G221" s="5" t="str">
        <f t="shared" si="2"/>
        <v>nops</v>
      </c>
      <c r="H221" s="94"/>
      <c r="I221" s="91" t="str">
        <f t="shared" si="10"/>
        <v/>
      </c>
      <c r="J221" s="91" t="str">
        <f t="shared" si="3"/>
        <v/>
      </c>
      <c r="K221" s="68" t="str">
        <f t="shared" si="11"/>
        <v/>
      </c>
      <c r="L221" s="64"/>
      <c r="M221" s="64"/>
      <c r="N221" s="64"/>
      <c r="O221" s="64"/>
      <c r="P221" s="4"/>
      <c r="Q221" s="4"/>
      <c r="R221" s="4"/>
      <c r="S221" s="4"/>
      <c r="T221" s="4"/>
      <c r="U221" s="4"/>
      <c r="V221" s="8">
        <f t="shared" si="12"/>
        <v>430367562125</v>
      </c>
      <c r="W221" s="5" t="str">
        <f t="shared" si="7"/>
        <v>nops</v>
      </c>
      <c r="X221" s="67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</row>
    <row r="222" ht="19.5" customHeight="1">
      <c r="A222" s="56" t="s">
        <v>28</v>
      </c>
      <c r="B222" s="57">
        <v>203.0</v>
      </c>
      <c r="C222" s="89">
        <f t="shared" si="8"/>
        <v>846330503515</v>
      </c>
      <c r="D222" s="89">
        <f t="shared" si="9"/>
        <v>94036722613</v>
      </c>
      <c r="E222" s="59"/>
      <c r="F222" s="60" t="str">
        <f t="shared" si="1"/>
        <v>-</v>
      </c>
      <c r="G222" s="5" t="str">
        <f t="shared" si="2"/>
        <v>nops</v>
      </c>
      <c r="H222" s="94"/>
      <c r="I222" s="91" t="str">
        <f t="shared" si="10"/>
        <v/>
      </c>
      <c r="J222" s="91" t="str">
        <f t="shared" si="3"/>
        <v/>
      </c>
      <c r="K222" s="68" t="str">
        <f t="shared" si="11"/>
        <v/>
      </c>
      <c r="L222" s="64"/>
      <c r="M222" s="64"/>
      <c r="N222" s="64"/>
      <c r="O222" s="64"/>
      <c r="P222" s="4"/>
      <c r="Q222" s="4"/>
      <c r="R222" s="4"/>
      <c r="S222" s="4"/>
      <c r="T222" s="4"/>
      <c r="U222" s="4"/>
      <c r="V222" s="8">
        <f t="shared" si="12"/>
        <v>484163507390</v>
      </c>
      <c r="W222" s="5" t="str">
        <f t="shared" si="7"/>
        <v>nops</v>
      </c>
      <c r="X222" s="67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</row>
    <row r="223" ht="19.5" customHeight="1">
      <c r="A223" s="56" t="s">
        <v>28</v>
      </c>
      <c r="B223" s="57">
        <v>204.0</v>
      </c>
      <c r="C223" s="89">
        <f t="shared" si="8"/>
        <v>952121816454</v>
      </c>
      <c r="D223" s="89">
        <f t="shared" si="9"/>
        <v>105791312939</v>
      </c>
      <c r="E223" s="59"/>
      <c r="F223" s="60" t="str">
        <f t="shared" si="1"/>
        <v>-</v>
      </c>
      <c r="G223" s="5" t="str">
        <f t="shared" si="2"/>
        <v>nops</v>
      </c>
      <c r="H223" s="94"/>
      <c r="I223" s="91" t="str">
        <f t="shared" si="10"/>
        <v/>
      </c>
      <c r="J223" s="91" t="str">
        <f t="shared" si="3"/>
        <v/>
      </c>
      <c r="K223" s="68" t="str">
        <f t="shared" si="11"/>
        <v/>
      </c>
      <c r="L223" s="64"/>
      <c r="M223" s="64"/>
      <c r="N223" s="64"/>
      <c r="O223" s="64"/>
      <c r="P223" s="4"/>
      <c r="Q223" s="4"/>
      <c r="R223" s="4"/>
      <c r="S223" s="4"/>
      <c r="T223" s="4"/>
      <c r="U223" s="4"/>
      <c r="V223" s="8">
        <f t="shared" si="12"/>
        <v>544683945814</v>
      </c>
      <c r="W223" s="5" t="str">
        <f t="shared" si="7"/>
        <v>nops</v>
      </c>
      <c r="X223" s="67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</row>
    <row r="224" ht="19.5" customHeight="1">
      <c r="A224" s="56" t="s">
        <v>28</v>
      </c>
      <c r="B224" s="57">
        <v>205.0</v>
      </c>
      <c r="C224" s="89">
        <f t="shared" si="8"/>
        <v>1071137043511</v>
      </c>
      <c r="D224" s="89">
        <f t="shared" si="9"/>
        <v>119015227057</v>
      </c>
      <c r="E224" s="59"/>
      <c r="F224" s="60" t="str">
        <f t="shared" si="1"/>
        <v>-</v>
      </c>
      <c r="G224" s="5" t="str">
        <f t="shared" si="2"/>
        <v>nops</v>
      </c>
      <c r="H224" s="94"/>
      <c r="I224" s="91" t="str">
        <f t="shared" si="10"/>
        <v/>
      </c>
      <c r="J224" s="91" t="str">
        <f t="shared" si="3"/>
        <v/>
      </c>
      <c r="K224" s="68" t="str">
        <f t="shared" si="11"/>
        <v/>
      </c>
      <c r="L224" s="64"/>
      <c r="M224" s="64"/>
      <c r="N224" s="64"/>
      <c r="O224" s="64"/>
      <c r="P224" s="4"/>
      <c r="Q224" s="4"/>
      <c r="R224" s="4"/>
      <c r="S224" s="4"/>
      <c r="T224" s="4"/>
      <c r="U224" s="4"/>
      <c r="V224" s="8">
        <f t="shared" si="12"/>
        <v>612769439041</v>
      </c>
      <c r="W224" s="5" t="str">
        <f t="shared" si="7"/>
        <v>nops</v>
      </c>
      <c r="X224" s="67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</row>
    <row r="225" ht="19.5" customHeight="1">
      <c r="A225" s="56" t="s">
        <v>28</v>
      </c>
      <c r="B225" s="57">
        <v>206.0</v>
      </c>
      <c r="C225" s="89">
        <f t="shared" si="8"/>
        <v>1205029173950</v>
      </c>
      <c r="D225" s="89">
        <f t="shared" si="9"/>
        <v>133892130439</v>
      </c>
      <c r="E225" s="59"/>
      <c r="F225" s="60" t="str">
        <f t="shared" si="1"/>
        <v>-</v>
      </c>
      <c r="G225" s="5" t="str">
        <f t="shared" si="2"/>
        <v>nops</v>
      </c>
      <c r="H225" s="94"/>
      <c r="I225" s="91" t="str">
        <f t="shared" si="10"/>
        <v/>
      </c>
      <c r="J225" s="91" t="str">
        <f t="shared" si="3"/>
        <v/>
      </c>
      <c r="K225" s="68" t="str">
        <f t="shared" si="11"/>
        <v/>
      </c>
      <c r="L225" s="64"/>
      <c r="M225" s="64"/>
      <c r="N225" s="64"/>
      <c r="O225" s="64"/>
      <c r="P225" s="4"/>
      <c r="Q225" s="4"/>
      <c r="R225" s="4"/>
      <c r="S225" s="4"/>
      <c r="T225" s="4"/>
      <c r="U225" s="4"/>
      <c r="V225" s="8">
        <f t="shared" si="12"/>
        <v>689365618921</v>
      </c>
      <c r="W225" s="5" t="str">
        <f t="shared" si="7"/>
        <v>nops</v>
      </c>
      <c r="X225" s="67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</row>
    <row r="226" ht="19.5" customHeight="1">
      <c r="A226" s="56" t="s">
        <v>28</v>
      </c>
      <c r="B226" s="57">
        <v>207.0</v>
      </c>
      <c r="C226" s="89">
        <f t="shared" si="8"/>
        <v>1355657820693</v>
      </c>
      <c r="D226" s="89">
        <f t="shared" si="9"/>
        <v>150628646744</v>
      </c>
      <c r="E226" s="59"/>
      <c r="F226" s="60" t="str">
        <f t="shared" si="1"/>
        <v>-</v>
      </c>
      <c r="G226" s="5" t="str">
        <f t="shared" si="2"/>
        <v>nops</v>
      </c>
      <c r="H226" s="94"/>
      <c r="I226" s="91" t="str">
        <f t="shared" si="10"/>
        <v/>
      </c>
      <c r="J226" s="91" t="str">
        <f t="shared" si="3"/>
        <v/>
      </c>
      <c r="K226" s="68" t="str">
        <f t="shared" si="11"/>
        <v/>
      </c>
      <c r="L226" s="64"/>
      <c r="M226" s="64"/>
      <c r="N226" s="64"/>
      <c r="O226" s="64"/>
      <c r="P226" s="4"/>
      <c r="Q226" s="4"/>
      <c r="R226" s="4"/>
      <c r="S226" s="4"/>
      <c r="T226" s="4"/>
      <c r="U226" s="4"/>
      <c r="V226" s="8">
        <f t="shared" si="12"/>
        <v>775536321286</v>
      </c>
      <c r="W226" s="5" t="str">
        <f t="shared" si="7"/>
        <v>nops</v>
      </c>
      <c r="X226" s="67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</row>
    <row r="227" ht="19.5" customHeight="1">
      <c r="A227" s="56" t="s">
        <v>28</v>
      </c>
      <c r="B227" s="57">
        <v>208.0</v>
      </c>
      <c r="C227" s="89">
        <f t="shared" si="8"/>
        <v>1525115048280</v>
      </c>
      <c r="D227" s="89">
        <f t="shared" si="9"/>
        <v>169457227587</v>
      </c>
      <c r="E227" s="59"/>
      <c r="F227" s="60" t="str">
        <f t="shared" si="1"/>
        <v>-</v>
      </c>
      <c r="G227" s="5" t="str">
        <f t="shared" si="2"/>
        <v>nops</v>
      </c>
      <c r="H227" s="94"/>
      <c r="I227" s="91" t="str">
        <f t="shared" si="10"/>
        <v/>
      </c>
      <c r="J227" s="91" t="str">
        <f t="shared" si="3"/>
        <v/>
      </c>
      <c r="K227" s="68" t="str">
        <f t="shared" si="11"/>
        <v/>
      </c>
      <c r="L227" s="64"/>
      <c r="M227" s="64"/>
      <c r="N227" s="64"/>
      <c r="O227" s="64"/>
      <c r="P227" s="4"/>
      <c r="Q227" s="4"/>
      <c r="R227" s="4"/>
      <c r="S227" s="4"/>
      <c r="T227" s="4"/>
      <c r="U227" s="4"/>
      <c r="V227" s="8">
        <f t="shared" si="12"/>
        <v>872478361447</v>
      </c>
      <c r="W227" s="5" t="str">
        <f t="shared" si="7"/>
        <v>nops</v>
      </c>
      <c r="X227" s="67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</row>
    <row r="228" ht="19.5" customHeight="1">
      <c r="A228" s="56" t="s">
        <v>28</v>
      </c>
      <c r="B228" s="57">
        <v>209.0</v>
      </c>
      <c r="C228" s="89">
        <f t="shared" si="8"/>
        <v>1715754429315</v>
      </c>
      <c r="D228" s="89">
        <f t="shared" si="9"/>
        <v>190639381035</v>
      </c>
      <c r="E228" s="59"/>
      <c r="F228" s="60" t="str">
        <f t="shared" si="1"/>
        <v>-</v>
      </c>
      <c r="G228" s="5" t="str">
        <f t="shared" si="2"/>
        <v>nops</v>
      </c>
      <c r="H228" s="94"/>
      <c r="I228" s="91" t="str">
        <f t="shared" si="10"/>
        <v/>
      </c>
      <c r="J228" s="91" t="str">
        <f t="shared" si="3"/>
        <v/>
      </c>
      <c r="K228" s="68" t="str">
        <f t="shared" si="11"/>
        <v/>
      </c>
      <c r="L228" s="64"/>
      <c r="M228" s="64"/>
      <c r="N228" s="64"/>
      <c r="O228" s="64"/>
      <c r="P228" s="4"/>
      <c r="Q228" s="4"/>
      <c r="R228" s="4"/>
      <c r="S228" s="4"/>
      <c r="T228" s="4"/>
      <c r="U228" s="4"/>
      <c r="V228" s="8">
        <f t="shared" si="12"/>
        <v>981538156628</v>
      </c>
      <c r="W228" s="5" t="str">
        <f t="shared" si="7"/>
        <v>nops</v>
      </c>
      <c r="X228" s="67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</row>
    <row r="229" ht="19.5" customHeight="1">
      <c r="A229" s="56" t="s">
        <v>28</v>
      </c>
      <c r="B229" s="57">
        <v>210.0</v>
      </c>
      <c r="C229" s="89">
        <f t="shared" si="8"/>
        <v>1930223732979</v>
      </c>
      <c r="D229" s="89">
        <f t="shared" si="9"/>
        <v>214469303664</v>
      </c>
      <c r="E229" s="59"/>
      <c r="F229" s="60" t="str">
        <f t="shared" si="1"/>
        <v>-</v>
      </c>
      <c r="G229" s="5" t="str">
        <f t="shared" si="2"/>
        <v>nops</v>
      </c>
      <c r="H229" s="94"/>
      <c r="I229" s="91" t="str">
        <f t="shared" si="10"/>
        <v/>
      </c>
      <c r="J229" s="91" t="str">
        <f t="shared" si="3"/>
        <v/>
      </c>
      <c r="K229" s="68" t="str">
        <f t="shared" si="11"/>
        <v/>
      </c>
      <c r="L229" s="64"/>
      <c r="M229" s="64"/>
      <c r="N229" s="64"/>
      <c r="O229" s="64"/>
      <c r="P229" s="4"/>
      <c r="Q229" s="4"/>
      <c r="R229" s="4"/>
      <c r="S229" s="4"/>
      <c r="T229" s="4"/>
      <c r="U229" s="4"/>
      <c r="V229" s="8">
        <f t="shared" si="12"/>
        <v>1104230426206</v>
      </c>
      <c r="W229" s="5" t="str">
        <f t="shared" si="7"/>
        <v>nops</v>
      </c>
      <c r="X229" s="67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</row>
    <row r="230" ht="19.5" customHeight="1">
      <c r="A230" s="56" t="s">
        <v>28</v>
      </c>
      <c r="B230" s="57">
        <v>211.0</v>
      </c>
      <c r="C230" s="89">
        <f t="shared" si="8"/>
        <v>2171501699602</v>
      </c>
      <c r="D230" s="89">
        <f t="shared" si="9"/>
        <v>241277966622</v>
      </c>
      <c r="E230" s="59"/>
      <c r="F230" s="60" t="str">
        <f t="shared" si="1"/>
        <v>-</v>
      </c>
      <c r="G230" s="5" t="str">
        <f t="shared" si="2"/>
        <v>nops</v>
      </c>
      <c r="H230" s="94"/>
      <c r="I230" s="91" t="str">
        <f t="shared" si="10"/>
        <v/>
      </c>
      <c r="J230" s="91" t="str">
        <f t="shared" si="3"/>
        <v/>
      </c>
      <c r="K230" s="68" t="str">
        <f t="shared" si="11"/>
        <v/>
      </c>
      <c r="L230" s="64"/>
      <c r="M230" s="64"/>
      <c r="N230" s="64"/>
      <c r="O230" s="64"/>
      <c r="P230" s="4"/>
      <c r="Q230" s="4"/>
      <c r="R230" s="4"/>
      <c r="S230" s="4"/>
      <c r="T230" s="4"/>
      <c r="U230" s="4"/>
      <c r="V230" s="8">
        <f t="shared" si="12"/>
        <v>1242259229482</v>
      </c>
      <c r="W230" s="5" t="str">
        <f t="shared" si="7"/>
        <v>nops</v>
      </c>
      <c r="X230" s="67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</row>
    <row r="231" ht="19.5" customHeight="1">
      <c r="A231" s="56" t="s">
        <v>28</v>
      </c>
      <c r="B231" s="57">
        <v>212.0</v>
      </c>
      <c r="C231" s="89">
        <f t="shared" si="8"/>
        <v>2442939412052</v>
      </c>
      <c r="D231" s="89">
        <f t="shared" si="9"/>
        <v>271437712450</v>
      </c>
      <c r="E231" s="59"/>
      <c r="F231" s="60" t="str">
        <f t="shared" si="1"/>
        <v>-</v>
      </c>
      <c r="G231" s="5" t="str">
        <f t="shared" si="2"/>
        <v>nops</v>
      </c>
      <c r="H231" s="94"/>
      <c r="I231" s="91" t="str">
        <f t="shared" si="10"/>
        <v/>
      </c>
      <c r="J231" s="91" t="str">
        <f t="shared" si="3"/>
        <v/>
      </c>
      <c r="K231" s="68" t="str">
        <f t="shared" si="11"/>
        <v/>
      </c>
      <c r="L231" s="64"/>
      <c r="M231" s="64"/>
      <c r="N231" s="64"/>
      <c r="O231" s="64"/>
      <c r="P231" s="4"/>
      <c r="Q231" s="4"/>
      <c r="R231" s="4"/>
      <c r="S231" s="4"/>
      <c r="T231" s="4"/>
      <c r="U231" s="4"/>
      <c r="V231" s="8">
        <f t="shared" si="12"/>
        <v>1397541633168</v>
      </c>
      <c r="W231" s="5" t="str">
        <f t="shared" si="7"/>
        <v>nops</v>
      </c>
      <c r="X231" s="67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</row>
    <row r="232" ht="19.5" customHeight="1">
      <c r="A232" s="56" t="s">
        <v>28</v>
      </c>
      <c r="B232" s="57">
        <v>213.0</v>
      </c>
      <c r="C232" s="89">
        <f t="shared" si="8"/>
        <v>2748306838558</v>
      </c>
      <c r="D232" s="89">
        <f t="shared" si="9"/>
        <v>305367426506</v>
      </c>
      <c r="E232" s="59"/>
      <c r="F232" s="60" t="str">
        <f t="shared" si="1"/>
        <v>-</v>
      </c>
      <c r="G232" s="5" t="str">
        <f t="shared" si="2"/>
        <v>nops</v>
      </c>
      <c r="H232" s="94"/>
      <c r="I232" s="91" t="str">
        <f t="shared" si="10"/>
        <v/>
      </c>
      <c r="J232" s="91" t="str">
        <f t="shared" si="3"/>
        <v/>
      </c>
      <c r="K232" s="68" t="str">
        <f t="shared" si="11"/>
        <v/>
      </c>
      <c r="L232" s="64"/>
      <c r="M232" s="64"/>
      <c r="N232" s="64"/>
      <c r="O232" s="64"/>
      <c r="P232" s="4"/>
      <c r="Q232" s="4"/>
      <c r="R232" s="4"/>
      <c r="S232" s="4"/>
      <c r="T232" s="4"/>
      <c r="U232" s="4"/>
      <c r="V232" s="8">
        <f t="shared" si="12"/>
        <v>1572234337314</v>
      </c>
      <c r="W232" s="5" t="str">
        <f t="shared" si="7"/>
        <v>nops</v>
      </c>
      <c r="X232" s="67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</row>
    <row r="233" ht="19.5" customHeight="1">
      <c r="A233" s="56" t="s">
        <v>28</v>
      </c>
      <c r="B233" s="57">
        <v>214.0</v>
      </c>
      <c r="C233" s="89">
        <f t="shared" si="8"/>
        <v>3091845193378</v>
      </c>
      <c r="D233" s="89">
        <f t="shared" si="9"/>
        <v>343538354820</v>
      </c>
      <c r="E233" s="59"/>
      <c r="F233" s="60" t="str">
        <f t="shared" si="1"/>
        <v>-</v>
      </c>
      <c r="G233" s="5" t="str">
        <f t="shared" si="2"/>
        <v>nops</v>
      </c>
      <c r="H233" s="94"/>
      <c r="I233" s="91" t="str">
        <f t="shared" si="10"/>
        <v/>
      </c>
      <c r="J233" s="91" t="str">
        <f t="shared" si="3"/>
        <v/>
      </c>
      <c r="K233" s="68" t="str">
        <f t="shared" si="11"/>
        <v/>
      </c>
      <c r="L233" s="64"/>
      <c r="M233" s="64"/>
      <c r="N233" s="64"/>
      <c r="O233" s="64"/>
      <c r="P233" s="4"/>
      <c r="Q233" s="4"/>
      <c r="R233" s="4"/>
      <c r="S233" s="4"/>
      <c r="T233" s="4"/>
      <c r="U233" s="4"/>
      <c r="V233" s="8">
        <f t="shared" si="12"/>
        <v>1768763629478</v>
      </c>
      <c r="W233" s="5" t="str">
        <f t="shared" si="7"/>
        <v>nops</v>
      </c>
      <c r="X233" s="67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</row>
    <row r="234" ht="19.5" customHeight="1">
      <c r="A234" s="56" t="s">
        <v>28</v>
      </c>
      <c r="B234" s="57">
        <v>215.0</v>
      </c>
      <c r="C234" s="89">
        <f t="shared" si="8"/>
        <v>3478325842550</v>
      </c>
      <c r="D234" s="89">
        <f t="shared" si="9"/>
        <v>386480649172</v>
      </c>
      <c r="E234" s="59"/>
      <c r="F234" s="60" t="str">
        <f t="shared" si="1"/>
        <v>-</v>
      </c>
      <c r="G234" s="5" t="str">
        <f t="shared" si="2"/>
        <v>nops</v>
      </c>
      <c r="H234" s="94"/>
      <c r="I234" s="91" t="str">
        <f t="shared" si="10"/>
        <v/>
      </c>
      <c r="J234" s="91" t="str">
        <f t="shared" si="3"/>
        <v/>
      </c>
      <c r="K234" s="68" t="str">
        <f t="shared" si="11"/>
        <v/>
      </c>
      <c r="L234" s="64"/>
      <c r="M234" s="64"/>
      <c r="N234" s="64"/>
      <c r="O234" s="64"/>
      <c r="P234" s="4"/>
      <c r="Q234" s="4"/>
      <c r="R234" s="4"/>
      <c r="S234" s="4"/>
      <c r="T234" s="4"/>
      <c r="U234" s="4"/>
      <c r="V234" s="8">
        <f t="shared" si="12"/>
        <v>1989859083162</v>
      </c>
      <c r="W234" s="5" t="str">
        <f t="shared" si="7"/>
        <v>nops</v>
      </c>
      <c r="X234" s="67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</row>
    <row r="235" ht="19.5" customHeight="1">
      <c r="A235" s="56" t="s">
        <v>28</v>
      </c>
      <c r="B235" s="57">
        <v>216.0</v>
      </c>
      <c r="C235" s="89">
        <f t="shared" si="8"/>
        <v>3913116572869</v>
      </c>
      <c r="D235" s="89">
        <f t="shared" si="9"/>
        <v>434790730319</v>
      </c>
      <c r="E235" s="59"/>
      <c r="F235" s="60" t="str">
        <f t="shared" si="1"/>
        <v>-</v>
      </c>
      <c r="G235" s="5" t="str">
        <f t="shared" si="2"/>
        <v>nops</v>
      </c>
      <c r="H235" s="94"/>
      <c r="I235" s="91" t="str">
        <f t="shared" si="10"/>
        <v/>
      </c>
      <c r="J235" s="91" t="str">
        <f t="shared" si="3"/>
        <v/>
      </c>
      <c r="K235" s="68" t="str">
        <f t="shared" si="11"/>
        <v/>
      </c>
      <c r="L235" s="64"/>
      <c r="M235" s="64"/>
      <c r="N235" s="64"/>
      <c r="O235" s="64"/>
      <c r="P235" s="4"/>
      <c r="Q235" s="4"/>
      <c r="R235" s="4"/>
      <c r="S235" s="4"/>
      <c r="T235" s="4"/>
      <c r="U235" s="4"/>
      <c r="V235" s="8">
        <f t="shared" si="12"/>
        <v>2238591468558</v>
      </c>
      <c r="W235" s="5" t="str">
        <f t="shared" si="7"/>
        <v>nops</v>
      </c>
      <c r="X235" s="67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</row>
    <row r="236" ht="19.5" customHeight="1">
      <c r="A236" s="56" t="s">
        <v>28</v>
      </c>
      <c r="B236" s="57">
        <v>217.0</v>
      </c>
      <c r="C236" s="89">
        <f t="shared" si="8"/>
        <v>4402256144478</v>
      </c>
      <c r="D236" s="89">
        <f t="shared" si="9"/>
        <v>489139571609</v>
      </c>
      <c r="E236" s="59"/>
      <c r="F236" s="60" t="str">
        <f t="shared" si="1"/>
        <v>-</v>
      </c>
      <c r="G236" s="5" t="str">
        <f t="shared" si="2"/>
        <v>nops</v>
      </c>
      <c r="H236" s="94"/>
      <c r="I236" s="91" t="str">
        <f t="shared" si="10"/>
        <v/>
      </c>
      <c r="J236" s="91" t="str">
        <f t="shared" si="3"/>
        <v/>
      </c>
      <c r="K236" s="68" t="str">
        <f t="shared" si="11"/>
        <v/>
      </c>
      <c r="L236" s="64"/>
      <c r="M236" s="64"/>
      <c r="N236" s="64"/>
      <c r="O236" s="64"/>
      <c r="P236" s="4"/>
      <c r="Q236" s="4"/>
      <c r="R236" s="4"/>
      <c r="S236" s="4"/>
      <c r="T236" s="4"/>
      <c r="U236" s="4"/>
      <c r="V236" s="8">
        <f t="shared" si="12"/>
        <v>2518415402127</v>
      </c>
      <c r="W236" s="5" t="str">
        <f t="shared" si="7"/>
        <v>nops</v>
      </c>
      <c r="X236" s="67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</row>
    <row r="237" ht="19.5" customHeight="1">
      <c r="A237" s="56" t="s">
        <v>28</v>
      </c>
      <c r="B237" s="57">
        <v>218.0</v>
      </c>
      <c r="C237" s="89">
        <f t="shared" si="8"/>
        <v>4952538162538</v>
      </c>
      <c r="D237" s="89">
        <f t="shared" si="9"/>
        <v>550282018060</v>
      </c>
      <c r="E237" s="59"/>
      <c r="F237" s="60" t="str">
        <f t="shared" si="1"/>
        <v>-</v>
      </c>
      <c r="G237" s="5" t="str">
        <f t="shared" si="2"/>
        <v>nops</v>
      </c>
      <c r="H237" s="94"/>
      <c r="I237" s="91" t="str">
        <f t="shared" si="10"/>
        <v/>
      </c>
      <c r="J237" s="91" t="str">
        <f t="shared" si="3"/>
        <v/>
      </c>
      <c r="K237" s="68" t="str">
        <f t="shared" si="11"/>
        <v/>
      </c>
      <c r="L237" s="64"/>
      <c r="M237" s="64"/>
      <c r="N237" s="64"/>
      <c r="O237" s="64"/>
      <c r="P237" s="4"/>
      <c r="Q237" s="4"/>
      <c r="R237" s="4"/>
      <c r="S237" s="4"/>
      <c r="T237" s="4"/>
      <c r="U237" s="4"/>
      <c r="V237" s="8">
        <f t="shared" si="12"/>
        <v>2833217327393</v>
      </c>
      <c r="W237" s="5" t="str">
        <f t="shared" si="7"/>
        <v>nops</v>
      </c>
      <c r="X237" s="67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</row>
    <row r="238" ht="19.5" customHeight="1">
      <c r="A238" s="56" t="s">
        <v>28</v>
      </c>
      <c r="B238" s="57">
        <v>219.0</v>
      </c>
      <c r="C238" s="89">
        <f t="shared" si="8"/>
        <v>5571605432855</v>
      </c>
      <c r="D238" s="89">
        <f t="shared" si="9"/>
        <v>619067270317</v>
      </c>
      <c r="E238" s="59"/>
      <c r="F238" s="60" t="str">
        <f t="shared" si="1"/>
        <v>-</v>
      </c>
      <c r="G238" s="5" t="str">
        <f t="shared" si="2"/>
        <v>nops</v>
      </c>
      <c r="H238" s="94"/>
      <c r="I238" s="91" t="str">
        <f t="shared" si="10"/>
        <v/>
      </c>
      <c r="J238" s="91" t="str">
        <f t="shared" si="3"/>
        <v/>
      </c>
      <c r="K238" s="68" t="str">
        <f t="shared" si="11"/>
        <v/>
      </c>
      <c r="L238" s="64"/>
      <c r="M238" s="64"/>
      <c r="N238" s="64"/>
      <c r="O238" s="64"/>
      <c r="P238" s="4"/>
      <c r="Q238" s="4"/>
      <c r="R238" s="4"/>
      <c r="S238" s="4"/>
      <c r="T238" s="4"/>
      <c r="U238" s="4"/>
      <c r="V238" s="8">
        <f t="shared" si="12"/>
        <v>3187369493318</v>
      </c>
      <c r="W238" s="5" t="str">
        <f t="shared" si="7"/>
        <v>nops</v>
      </c>
      <c r="X238" s="67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</row>
    <row r="239" ht="19.5" customHeight="1">
      <c r="A239" s="56" t="s">
        <v>28</v>
      </c>
      <c r="B239" s="57">
        <v>220.0</v>
      </c>
      <c r="C239" s="89">
        <f t="shared" si="8"/>
        <v>6268056111962</v>
      </c>
      <c r="D239" s="89">
        <f t="shared" si="9"/>
        <v>696450679107</v>
      </c>
      <c r="E239" s="59"/>
      <c r="F239" s="60" t="str">
        <f t="shared" si="1"/>
        <v>-</v>
      </c>
      <c r="G239" s="5" t="str">
        <f t="shared" si="2"/>
        <v>nops</v>
      </c>
      <c r="H239" s="94"/>
      <c r="I239" s="91" t="str">
        <f t="shared" si="10"/>
        <v/>
      </c>
      <c r="J239" s="91" t="str">
        <f t="shared" si="3"/>
        <v/>
      </c>
      <c r="K239" s="68" t="str">
        <f t="shared" si="11"/>
        <v/>
      </c>
      <c r="L239" s="64"/>
      <c r="M239" s="64"/>
      <c r="N239" s="64"/>
      <c r="O239" s="64"/>
      <c r="P239" s="4"/>
      <c r="Q239" s="4"/>
      <c r="R239" s="4"/>
      <c r="S239" s="4"/>
      <c r="T239" s="4"/>
      <c r="U239" s="4"/>
      <c r="V239" s="8">
        <f t="shared" si="12"/>
        <v>3585790679982</v>
      </c>
      <c r="W239" s="5" t="str">
        <f t="shared" si="7"/>
        <v>nops</v>
      </c>
      <c r="X239" s="67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</row>
    <row r="240" ht="19.5" customHeight="1">
      <c r="A240" s="56" t="s">
        <v>28</v>
      </c>
      <c r="B240" s="57">
        <v>221.0</v>
      </c>
      <c r="C240" s="89">
        <f t="shared" si="8"/>
        <v>7051563125957</v>
      </c>
      <c r="D240" s="89">
        <f t="shared" si="9"/>
        <v>783507013995</v>
      </c>
      <c r="E240" s="59"/>
      <c r="F240" s="60" t="str">
        <f t="shared" si="1"/>
        <v>-</v>
      </c>
      <c r="G240" s="5" t="str">
        <f t="shared" si="2"/>
        <v>nops</v>
      </c>
      <c r="H240" s="94"/>
      <c r="I240" s="91" t="str">
        <f t="shared" si="10"/>
        <v/>
      </c>
      <c r="J240" s="91" t="str">
        <f t="shared" si="3"/>
        <v/>
      </c>
      <c r="K240" s="68" t="str">
        <f t="shared" si="11"/>
        <v/>
      </c>
      <c r="L240" s="64"/>
      <c r="M240" s="64"/>
      <c r="N240" s="64"/>
      <c r="O240" s="64"/>
      <c r="P240" s="4"/>
      <c r="Q240" s="4"/>
      <c r="R240" s="4"/>
      <c r="S240" s="4"/>
      <c r="T240" s="4"/>
      <c r="U240" s="4"/>
      <c r="V240" s="8">
        <f t="shared" si="12"/>
        <v>4034014514980</v>
      </c>
      <c r="W240" s="5" t="str">
        <f t="shared" si="7"/>
        <v>nops</v>
      </c>
      <c r="X240" s="67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</row>
    <row r="241" ht="19.5" customHeight="1">
      <c r="A241" s="56" t="s">
        <v>28</v>
      </c>
      <c r="B241" s="57">
        <v>222.0</v>
      </c>
      <c r="C241" s="89">
        <f t="shared" si="8"/>
        <v>7933008516701</v>
      </c>
      <c r="D241" s="89">
        <f t="shared" si="9"/>
        <v>881445390745</v>
      </c>
      <c r="E241" s="59"/>
      <c r="F241" s="60" t="str">
        <f t="shared" si="1"/>
        <v>-</v>
      </c>
      <c r="G241" s="5" t="str">
        <f t="shared" si="2"/>
        <v>nops</v>
      </c>
      <c r="H241" s="94"/>
      <c r="I241" s="91" t="str">
        <f t="shared" si="10"/>
        <v/>
      </c>
      <c r="J241" s="91" t="str">
        <f t="shared" si="3"/>
        <v/>
      </c>
      <c r="K241" s="68" t="str">
        <f t="shared" si="11"/>
        <v/>
      </c>
      <c r="L241" s="64"/>
      <c r="M241" s="64"/>
      <c r="N241" s="64"/>
      <c r="O241" s="64"/>
      <c r="P241" s="4"/>
      <c r="Q241" s="4"/>
      <c r="R241" s="4"/>
      <c r="S241" s="4"/>
      <c r="T241" s="4"/>
      <c r="U241" s="4"/>
      <c r="V241" s="8">
        <f t="shared" si="12"/>
        <v>4538266329353</v>
      </c>
      <c r="W241" s="5" t="str">
        <f t="shared" si="7"/>
        <v>nops</v>
      </c>
      <c r="X241" s="67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</row>
    <row r="242" ht="19.5" customHeight="1">
      <c r="A242" s="56" t="s">
        <v>28</v>
      </c>
      <c r="B242" s="57">
        <v>223.0</v>
      </c>
      <c r="C242" s="89">
        <f t="shared" si="8"/>
        <v>8924634581289</v>
      </c>
      <c r="D242" s="89">
        <f t="shared" si="9"/>
        <v>991626064588</v>
      </c>
      <c r="E242" s="59"/>
      <c r="F242" s="60" t="str">
        <f t="shared" si="1"/>
        <v>-</v>
      </c>
      <c r="G242" s="5" t="str">
        <f t="shared" si="2"/>
        <v>nops</v>
      </c>
      <c r="H242" s="94"/>
      <c r="I242" s="91" t="str">
        <f t="shared" si="10"/>
        <v/>
      </c>
      <c r="J242" s="91" t="str">
        <f t="shared" si="3"/>
        <v/>
      </c>
      <c r="K242" s="68" t="str">
        <f t="shared" si="11"/>
        <v/>
      </c>
      <c r="L242" s="64"/>
      <c r="M242" s="64"/>
      <c r="N242" s="64"/>
      <c r="O242" s="64"/>
      <c r="P242" s="4"/>
      <c r="Q242" s="4"/>
      <c r="R242" s="4"/>
      <c r="S242" s="4"/>
      <c r="T242" s="4"/>
      <c r="U242" s="4"/>
      <c r="V242" s="8">
        <f t="shared" si="12"/>
        <v>5105549620522</v>
      </c>
      <c r="W242" s="5" t="str">
        <f t="shared" si="7"/>
        <v>nops</v>
      </c>
      <c r="X242" s="67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</row>
    <row r="243" ht="19.5" customHeight="1">
      <c r="A243" s="56" t="s">
        <v>28</v>
      </c>
      <c r="B243" s="57">
        <v>224.0</v>
      </c>
      <c r="C243" s="89">
        <f t="shared" si="8"/>
        <v>10040213903950</v>
      </c>
      <c r="D243" s="89">
        <f t="shared" si="9"/>
        <v>1115579322661</v>
      </c>
      <c r="E243" s="59"/>
      <c r="F243" s="60" t="str">
        <f t="shared" si="1"/>
        <v>-</v>
      </c>
      <c r="G243" s="5" t="str">
        <f t="shared" si="2"/>
        <v>nops</v>
      </c>
      <c r="H243" s="94"/>
      <c r="I243" s="91" t="str">
        <f t="shared" si="10"/>
        <v/>
      </c>
      <c r="J243" s="91" t="str">
        <f t="shared" si="3"/>
        <v/>
      </c>
      <c r="K243" s="68" t="str">
        <f t="shared" si="11"/>
        <v/>
      </c>
      <c r="L243" s="64"/>
      <c r="M243" s="64"/>
      <c r="N243" s="64"/>
      <c r="O243" s="64"/>
      <c r="P243" s="4"/>
      <c r="Q243" s="4"/>
      <c r="R243" s="4"/>
      <c r="S243" s="4"/>
      <c r="T243" s="4"/>
      <c r="U243" s="4"/>
      <c r="V243" s="8">
        <f t="shared" si="12"/>
        <v>5743743323087</v>
      </c>
      <c r="W243" s="5" t="str">
        <f t="shared" si="7"/>
        <v>nops</v>
      </c>
      <c r="X243" s="67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</row>
    <row r="244" ht="19.5" customHeight="1">
      <c r="A244" s="56" t="s">
        <v>28</v>
      </c>
      <c r="B244" s="57">
        <v>225.0</v>
      </c>
      <c r="C244" s="89">
        <f t="shared" si="8"/>
        <v>11295240641944</v>
      </c>
      <c r="D244" s="89">
        <f t="shared" si="9"/>
        <v>1255026737994</v>
      </c>
      <c r="E244" s="59"/>
      <c r="F244" s="60" t="str">
        <f t="shared" si="1"/>
        <v>-</v>
      </c>
      <c r="G244" s="5" t="str">
        <f t="shared" si="2"/>
        <v>nops</v>
      </c>
      <c r="H244" s="94"/>
      <c r="I244" s="91" t="str">
        <f t="shared" si="10"/>
        <v/>
      </c>
      <c r="J244" s="91" t="str">
        <f t="shared" si="3"/>
        <v/>
      </c>
      <c r="K244" s="68" t="str">
        <f t="shared" si="11"/>
        <v/>
      </c>
      <c r="L244" s="64"/>
      <c r="M244" s="64"/>
      <c r="N244" s="64"/>
      <c r="O244" s="64"/>
      <c r="P244" s="4"/>
      <c r="Q244" s="4"/>
      <c r="R244" s="4"/>
      <c r="S244" s="4"/>
      <c r="T244" s="4"/>
      <c r="U244" s="4"/>
      <c r="V244" s="8">
        <f t="shared" si="12"/>
        <v>6461711238473</v>
      </c>
      <c r="W244" s="5" t="str">
        <f t="shared" si="7"/>
        <v>nops</v>
      </c>
      <c r="X244" s="67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</row>
    <row r="245" ht="19.5" customHeight="1">
      <c r="A245" s="56" t="s">
        <v>28</v>
      </c>
      <c r="B245" s="57">
        <v>226.0</v>
      </c>
      <c r="C245" s="89">
        <f t="shared" si="8"/>
        <v>12707145722187</v>
      </c>
      <c r="D245" s="89">
        <f t="shared" si="9"/>
        <v>1411905080243</v>
      </c>
      <c r="E245" s="59"/>
      <c r="F245" s="60" t="str">
        <f t="shared" si="1"/>
        <v>-</v>
      </c>
      <c r="G245" s="5" t="str">
        <f t="shared" si="2"/>
        <v>nops</v>
      </c>
      <c r="H245" s="94"/>
      <c r="I245" s="91" t="str">
        <f t="shared" si="10"/>
        <v/>
      </c>
      <c r="J245" s="91" t="str">
        <f t="shared" si="3"/>
        <v/>
      </c>
      <c r="K245" s="68" t="str">
        <f t="shared" si="11"/>
        <v/>
      </c>
      <c r="L245" s="64"/>
      <c r="M245" s="64"/>
      <c r="N245" s="64"/>
      <c r="O245" s="64"/>
      <c r="P245" s="4"/>
      <c r="Q245" s="4"/>
      <c r="R245" s="4"/>
      <c r="S245" s="4"/>
      <c r="T245" s="4"/>
      <c r="U245" s="4"/>
      <c r="V245" s="8">
        <f t="shared" si="12"/>
        <v>7269425143282</v>
      </c>
      <c r="W245" s="5" t="str">
        <f t="shared" si="7"/>
        <v>nops</v>
      </c>
      <c r="X245" s="67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</row>
    <row r="246" ht="19.5" customHeight="1">
      <c r="A246" s="56" t="s">
        <v>28</v>
      </c>
      <c r="B246" s="57">
        <v>227.0</v>
      </c>
      <c r="C246" s="89">
        <f t="shared" si="8"/>
        <v>14295538937461</v>
      </c>
      <c r="D246" s="89">
        <f t="shared" si="9"/>
        <v>1588393215273</v>
      </c>
      <c r="E246" s="59"/>
      <c r="F246" s="60" t="str">
        <f t="shared" si="1"/>
        <v>-</v>
      </c>
      <c r="G246" s="5" t="str">
        <f t="shared" si="2"/>
        <v>nops</v>
      </c>
      <c r="H246" s="94"/>
      <c r="I246" s="91" t="str">
        <f t="shared" si="10"/>
        <v/>
      </c>
      <c r="J246" s="91" t="str">
        <f t="shared" si="3"/>
        <v/>
      </c>
      <c r="K246" s="68" t="str">
        <f t="shared" si="11"/>
        <v/>
      </c>
      <c r="L246" s="64"/>
      <c r="M246" s="64"/>
      <c r="N246" s="64"/>
      <c r="O246" s="64"/>
      <c r="P246" s="4"/>
      <c r="Q246" s="4"/>
      <c r="R246" s="4"/>
      <c r="S246" s="4"/>
      <c r="T246" s="4"/>
      <c r="U246" s="4"/>
      <c r="V246" s="8">
        <f t="shared" si="12"/>
        <v>8178103286192</v>
      </c>
      <c r="W246" s="5" t="str">
        <f t="shared" si="7"/>
        <v>nops</v>
      </c>
      <c r="X246" s="67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</row>
    <row r="247" ht="19.5" customHeight="1">
      <c r="A247" s="56" t="s">
        <v>28</v>
      </c>
      <c r="B247" s="57">
        <v>228.0</v>
      </c>
      <c r="C247" s="89">
        <f t="shared" si="8"/>
        <v>16082481304643</v>
      </c>
      <c r="D247" s="89">
        <f t="shared" si="9"/>
        <v>1786942367183</v>
      </c>
      <c r="E247" s="59"/>
      <c r="F247" s="60" t="str">
        <f t="shared" si="1"/>
        <v>-</v>
      </c>
      <c r="G247" s="5" t="str">
        <f t="shared" si="2"/>
        <v>nops</v>
      </c>
      <c r="H247" s="94"/>
      <c r="I247" s="91" t="str">
        <f t="shared" si="10"/>
        <v/>
      </c>
      <c r="J247" s="91" t="str">
        <f t="shared" si="3"/>
        <v/>
      </c>
      <c r="K247" s="68" t="str">
        <f t="shared" si="11"/>
        <v/>
      </c>
      <c r="L247" s="64"/>
      <c r="M247" s="64"/>
      <c r="N247" s="64"/>
      <c r="O247" s="64"/>
      <c r="P247" s="4"/>
      <c r="Q247" s="4"/>
      <c r="R247" s="4"/>
      <c r="S247" s="4"/>
      <c r="T247" s="4"/>
      <c r="U247" s="4"/>
      <c r="V247" s="8">
        <f t="shared" si="12"/>
        <v>9200366196966</v>
      </c>
      <c r="W247" s="5" t="str">
        <f t="shared" si="7"/>
        <v>nops</v>
      </c>
      <c r="X247" s="67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</row>
    <row r="248" ht="19.5" customHeight="1">
      <c r="A248" s="56" t="s">
        <v>28</v>
      </c>
      <c r="B248" s="57">
        <v>229.0</v>
      </c>
      <c r="C248" s="89">
        <f t="shared" si="8"/>
        <v>18092791467723</v>
      </c>
      <c r="D248" s="89">
        <f t="shared" si="9"/>
        <v>2010310163080</v>
      </c>
      <c r="E248" s="59"/>
      <c r="F248" s="60" t="str">
        <f t="shared" si="1"/>
        <v>-</v>
      </c>
      <c r="G248" s="5" t="str">
        <f t="shared" si="2"/>
        <v>nops</v>
      </c>
      <c r="H248" s="94"/>
      <c r="I248" s="91" t="str">
        <f t="shared" si="10"/>
        <v/>
      </c>
      <c r="J248" s="91" t="str">
        <f t="shared" si="3"/>
        <v/>
      </c>
      <c r="K248" s="68" t="str">
        <f t="shared" si="11"/>
        <v/>
      </c>
      <c r="L248" s="64"/>
      <c r="M248" s="64"/>
      <c r="N248" s="64"/>
      <c r="O248" s="64"/>
      <c r="P248" s="4"/>
      <c r="Q248" s="4"/>
      <c r="R248" s="4"/>
      <c r="S248" s="4"/>
      <c r="T248" s="4"/>
      <c r="U248" s="4"/>
      <c r="V248" s="8">
        <f t="shared" si="12"/>
        <v>10350411971587</v>
      </c>
      <c r="W248" s="5" t="str">
        <f t="shared" si="7"/>
        <v>nops</v>
      </c>
      <c r="X248" s="67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</row>
    <row r="249" ht="19.5" customHeight="1">
      <c r="A249" s="56" t="s">
        <v>28</v>
      </c>
      <c r="B249" s="57">
        <v>230.0</v>
      </c>
      <c r="C249" s="89">
        <f t="shared" si="8"/>
        <v>20354390401189</v>
      </c>
      <c r="D249" s="89">
        <f t="shared" si="9"/>
        <v>2261598933465</v>
      </c>
      <c r="E249" s="59"/>
      <c r="F249" s="60" t="str">
        <f t="shared" si="1"/>
        <v>-</v>
      </c>
      <c r="G249" s="5" t="str">
        <f t="shared" si="2"/>
        <v>nops</v>
      </c>
      <c r="H249" s="94"/>
      <c r="I249" s="91" t="str">
        <f t="shared" si="10"/>
        <v/>
      </c>
      <c r="J249" s="91" t="str">
        <f t="shared" si="3"/>
        <v/>
      </c>
      <c r="K249" s="68" t="str">
        <f t="shared" si="11"/>
        <v/>
      </c>
      <c r="L249" s="64"/>
      <c r="M249" s="64"/>
      <c r="N249" s="64"/>
      <c r="O249" s="64"/>
      <c r="P249" s="4"/>
      <c r="Q249" s="4"/>
      <c r="R249" s="4"/>
      <c r="S249" s="4"/>
      <c r="T249" s="4"/>
      <c r="U249" s="4"/>
      <c r="V249" s="8">
        <f t="shared" si="12"/>
        <v>11644213468035</v>
      </c>
      <c r="W249" s="5" t="str">
        <f t="shared" si="7"/>
        <v>nops</v>
      </c>
      <c r="X249" s="67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</row>
    <row r="250" ht="19.5" customHeight="1">
      <c r="A250" s="56" t="s">
        <v>28</v>
      </c>
      <c r="B250" s="57">
        <v>231.0</v>
      </c>
      <c r="C250" s="89">
        <f t="shared" si="8"/>
        <v>22898689201337</v>
      </c>
      <c r="D250" s="89">
        <f t="shared" si="9"/>
        <v>2544298800149</v>
      </c>
      <c r="E250" s="59"/>
      <c r="F250" s="60" t="str">
        <f t="shared" si="1"/>
        <v>-</v>
      </c>
      <c r="G250" s="5" t="str">
        <f t="shared" si="2"/>
        <v>nops</v>
      </c>
      <c r="H250" s="94"/>
      <c r="I250" s="91" t="str">
        <f t="shared" si="10"/>
        <v/>
      </c>
      <c r="J250" s="91" t="str">
        <f t="shared" si="3"/>
        <v/>
      </c>
      <c r="K250" s="68" t="str">
        <f t="shared" si="11"/>
        <v/>
      </c>
      <c r="L250" s="64"/>
      <c r="M250" s="64"/>
      <c r="N250" s="64"/>
      <c r="O250" s="64"/>
      <c r="P250" s="4"/>
      <c r="Q250" s="4"/>
      <c r="R250" s="4"/>
      <c r="S250" s="4"/>
      <c r="T250" s="4"/>
      <c r="U250" s="4"/>
      <c r="V250" s="8">
        <f t="shared" si="12"/>
        <v>13099740151539</v>
      </c>
      <c r="W250" s="5" t="str">
        <f t="shared" si="7"/>
        <v>nops</v>
      </c>
      <c r="X250" s="67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</row>
    <row r="251" ht="19.5" customHeight="1">
      <c r="A251" s="56" t="s">
        <v>28</v>
      </c>
      <c r="B251" s="57">
        <v>232.0</v>
      </c>
      <c r="C251" s="89">
        <f t="shared" si="8"/>
        <v>25761025351505</v>
      </c>
      <c r="D251" s="89">
        <f t="shared" si="9"/>
        <v>2862336150167</v>
      </c>
      <c r="E251" s="59"/>
      <c r="F251" s="60" t="str">
        <f t="shared" si="1"/>
        <v>-</v>
      </c>
      <c r="G251" s="5" t="str">
        <f t="shared" si="2"/>
        <v>nops</v>
      </c>
      <c r="H251" s="94"/>
      <c r="I251" s="91" t="str">
        <f t="shared" si="10"/>
        <v/>
      </c>
      <c r="J251" s="91" t="str">
        <f t="shared" si="3"/>
        <v/>
      </c>
      <c r="K251" s="68" t="str">
        <f t="shared" si="11"/>
        <v/>
      </c>
      <c r="L251" s="64"/>
      <c r="M251" s="64"/>
      <c r="N251" s="64"/>
      <c r="O251" s="64"/>
      <c r="P251" s="4"/>
      <c r="Q251" s="4"/>
      <c r="R251" s="4"/>
      <c r="S251" s="4"/>
      <c r="T251" s="4"/>
      <c r="U251" s="4"/>
      <c r="V251" s="8">
        <f t="shared" si="12"/>
        <v>14737207670482</v>
      </c>
      <c r="W251" s="5" t="str">
        <f t="shared" si="7"/>
        <v>nops</v>
      </c>
      <c r="X251" s="67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</row>
    <row r="252" ht="19.5" customHeight="1">
      <c r="A252" s="56" t="s">
        <v>28</v>
      </c>
      <c r="B252" s="57">
        <v>233.0</v>
      </c>
      <c r="C252" s="89">
        <f t="shared" si="8"/>
        <v>28981153520443</v>
      </c>
      <c r="D252" s="89">
        <f t="shared" si="9"/>
        <v>3220128168938</v>
      </c>
      <c r="E252" s="59"/>
      <c r="F252" s="60" t="str">
        <f t="shared" si="1"/>
        <v>-</v>
      </c>
      <c r="G252" s="5" t="str">
        <f t="shared" si="2"/>
        <v>nops</v>
      </c>
      <c r="H252" s="94"/>
      <c r="I252" s="91" t="str">
        <f t="shared" si="10"/>
        <v/>
      </c>
      <c r="J252" s="91" t="str">
        <f t="shared" si="3"/>
        <v/>
      </c>
      <c r="K252" s="68" t="str">
        <f t="shared" si="11"/>
        <v/>
      </c>
      <c r="L252" s="64"/>
      <c r="M252" s="64"/>
      <c r="N252" s="64"/>
      <c r="O252" s="64"/>
      <c r="P252" s="4"/>
      <c r="Q252" s="4"/>
      <c r="R252" s="4"/>
      <c r="S252" s="4"/>
      <c r="T252" s="4"/>
      <c r="U252" s="4"/>
      <c r="V252" s="8">
        <f t="shared" si="12"/>
        <v>16579358629292</v>
      </c>
      <c r="W252" s="5" t="str">
        <f t="shared" si="7"/>
        <v>nops</v>
      </c>
      <c r="X252" s="67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</row>
    <row r="253" ht="19.5" customHeight="1">
      <c r="A253" s="56" t="s">
        <v>28</v>
      </c>
      <c r="B253" s="57">
        <v>234.0</v>
      </c>
      <c r="C253" s="89">
        <f t="shared" si="8"/>
        <v>32603797710498</v>
      </c>
      <c r="D253" s="89">
        <f t="shared" si="9"/>
        <v>3622644190055</v>
      </c>
      <c r="E253" s="59"/>
      <c r="F253" s="60" t="str">
        <f t="shared" si="1"/>
        <v>-</v>
      </c>
      <c r="G253" s="5" t="str">
        <f t="shared" si="2"/>
        <v>nops</v>
      </c>
      <c r="H253" s="94"/>
      <c r="I253" s="91" t="str">
        <f t="shared" si="10"/>
        <v/>
      </c>
      <c r="J253" s="91" t="str">
        <f t="shared" si="3"/>
        <v/>
      </c>
      <c r="K253" s="68" t="str">
        <f t="shared" si="11"/>
        <v/>
      </c>
      <c r="L253" s="64"/>
      <c r="M253" s="64"/>
      <c r="N253" s="64"/>
      <c r="O253" s="64"/>
      <c r="P253" s="4"/>
      <c r="Q253" s="4"/>
      <c r="R253" s="4"/>
      <c r="S253" s="4"/>
      <c r="T253" s="4"/>
      <c r="U253" s="4"/>
      <c r="V253" s="8">
        <f t="shared" si="12"/>
        <v>18651778457954</v>
      </c>
      <c r="W253" s="5" t="str">
        <f t="shared" si="7"/>
        <v>nops</v>
      </c>
      <c r="X253" s="67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</row>
    <row r="254" ht="19.5" customHeight="1">
      <c r="A254" s="56" t="s">
        <v>28</v>
      </c>
      <c r="B254" s="57">
        <v>235.0</v>
      </c>
      <c r="C254" s="89">
        <f t="shared" si="8"/>
        <v>36679272424310</v>
      </c>
      <c r="D254" s="89">
        <f t="shared" si="9"/>
        <v>4075474713812</v>
      </c>
      <c r="E254" s="59"/>
      <c r="F254" s="60" t="str">
        <f t="shared" si="1"/>
        <v>-</v>
      </c>
      <c r="G254" s="5" t="str">
        <f t="shared" si="2"/>
        <v>nops</v>
      </c>
      <c r="H254" s="94"/>
      <c r="I254" s="91" t="str">
        <f t="shared" si="10"/>
        <v/>
      </c>
      <c r="J254" s="91" t="str">
        <f t="shared" si="3"/>
        <v/>
      </c>
      <c r="K254" s="68" t="str">
        <f t="shared" si="11"/>
        <v/>
      </c>
      <c r="L254" s="64"/>
      <c r="M254" s="64"/>
      <c r="N254" s="64"/>
      <c r="O254" s="64"/>
      <c r="P254" s="4"/>
      <c r="Q254" s="4"/>
      <c r="R254" s="4"/>
      <c r="S254" s="4"/>
      <c r="T254" s="4"/>
      <c r="U254" s="4"/>
      <c r="V254" s="8">
        <f t="shared" si="12"/>
        <v>20983250765198</v>
      </c>
      <c r="W254" s="5" t="str">
        <f t="shared" si="7"/>
        <v>nops</v>
      </c>
      <c r="X254" s="67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</row>
    <row r="255" ht="19.5" customHeight="1">
      <c r="A255" s="56" t="s">
        <v>28</v>
      </c>
      <c r="B255" s="57">
        <v>236.0</v>
      </c>
      <c r="C255" s="89">
        <f t="shared" si="8"/>
        <v>41264181477349</v>
      </c>
      <c r="D255" s="89">
        <f t="shared" si="9"/>
        <v>4584909053039</v>
      </c>
      <c r="E255" s="59"/>
      <c r="F255" s="60" t="str">
        <f t="shared" si="1"/>
        <v>-</v>
      </c>
      <c r="G255" s="5" t="str">
        <f t="shared" si="2"/>
        <v>nops</v>
      </c>
      <c r="H255" s="94"/>
      <c r="I255" s="91" t="str">
        <f t="shared" si="10"/>
        <v/>
      </c>
      <c r="J255" s="91" t="str">
        <f t="shared" si="3"/>
        <v/>
      </c>
      <c r="K255" s="68" t="str">
        <f t="shared" si="11"/>
        <v/>
      </c>
      <c r="L255" s="64"/>
      <c r="M255" s="64"/>
      <c r="N255" s="64"/>
      <c r="O255" s="64"/>
      <c r="P255" s="4"/>
      <c r="Q255" s="4"/>
      <c r="R255" s="4"/>
      <c r="S255" s="4"/>
      <c r="T255" s="4"/>
      <c r="U255" s="4"/>
      <c r="V255" s="8">
        <f t="shared" si="12"/>
        <v>23606157110847</v>
      </c>
      <c r="W255" s="5" t="str">
        <f t="shared" si="7"/>
        <v>nops</v>
      </c>
      <c r="X255" s="67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</row>
    <row r="256" ht="19.5" customHeight="1">
      <c r="A256" s="56" t="s">
        <v>28</v>
      </c>
      <c r="B256" s="57">
        <v>237.0</v>
      </c>
      <c r="C256" s="89">
        <f t="shared" si="8"/>
        <v>46422204162018</v>
      </c>
      <c r="D256" s="89">
        <f t="shared" si="9"/>
        <v>5158022684669</v>
      </c>
      <c r="E256" s="59"/>
      <c r="F256" s="60" t="str">
        <f t="shared" si="1"/>
        <v>-</v>
      </c>
      <c r="G256" s="5" t="str">
        <f t="shared" si="2"/>
        <v>nops</v>
      </c>
      <c r="H256" s="94"/>
      <c r="I256" s="91" t="str">
        <f t="shared" si="10"/>
        <v/>
      </c>
      <c r="J256" s="91" t="str">
        <f t="shared" si="3"/>
        <v/>
      </c>
      <c r="K256" s="68" t="str">
        <f t="shared" si="11"/>
        <v/>
      </c>
      <c r="L256" s="64"/>
      <c r="M256" s="64"/>
      <c r="N256" s="64"/>
      <c r="O256" s="64"/>
      <c r="P256" s="4"/>
      <c r="Q256" s="4"/>
      <c r="R256" s="4"/>
      <c r="S256" s="4"/>
      <c r="T256" s="4"/>
      <c r="U256" s="4"/>
      <c r="V256" s="8">
        <f t="shared" si="12"/>
        <v>26556926749703</v>
      </c>
      <c r="W256" s="5" t="str">
        <f t="shared" si="7"/>
        <v>nops</v>
      </c>
      <c r="X256" s="67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</row>
    <row r="257" ht="19.5" customHeight="1">
      <c r="A257" s="56" t="s">
        <v>28</v>
      </c>
      <c r="B257" s="57">
        <v>238.0</v>
      </c>
      <c r="C257" s="89">
        <f t="shared" si="8"/>
        <v>52224979682270</v>
      </c>
      <c r="D257" s="89">
        <f t="shared" si="9"/>
        <v>5802775520252</v>
      </c>
      <c r="E257" s="59"/>
      <c r="F257" s="60" t="str">
        <f t="shared" si="1"/>
        <v>-</v>
      </c>
      <c r="G257" s="5" t="str">
        <f t="shared" si="2"/>
        <v>nops</v>
      </c>
      <c r="H257" s="94"/>
      <c r="I257" s="91" t="str">
        <f t="shared" si="10"/>
        <v/>
      </c>
      <c r="J257" s="91" t="str">
        <f t="shared" si="3"/>
        <v/>
      </c>
      <c r="K257" s="68" t="str">
        <f t="shared" si="11"/>
        <v/>
      </c>
      <c r="L257" s="64"/>
      <c r="M257" s="64"/>
      <c r="N257" s="64"/>
      <c r="O257" s="64"/>
      <c r="P257" s="4"/>
      <c r="Q257" s="4"/>
      <c r="R257" s="4"/>
      <c r="S257" s="4"/>
      <c r="T257" s="4"/>
      <c r="U257" s="4"/>
      <c r="V257" s="8">
        <f t="shared" si="12"/>
        <v>29876542593416</v>
      </c>
      <c r="W257" s="5" t="str">
        <f t="shared" si="7"/>
        <v>nops</v>
      </c>
      <c r="X257" s="67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</row>
    <row r="258" ht="19.5" customHeight="1">
      <c r="A258" s="56" t="s">
        <v>28</v>
      </c>
      <c r="B258" s="57">
        <v>239.0</v>
      </c>
      <c r="C258" s="89">
        <f t="shared" si="8"/>
        <v>58753102142554</v>
      </c>
      <c r="D258" s="89">
        <f t="shared" si="9"/>
        <v>6528122460284</v>
      </c>
      <c r="E258" s="59"/>
      <c r="F258" s="60" t="str">
        <f t="shared" si="1"/>
        <v>-</v>
      </c>
      <c r="G258" s="5" t="str">
        <f t="shared" si="2"/>
        <v>nops</v>
      </c>
      <c r="H258" s="94"/>
      <c r="I258" s="91" t="str">
        <f t="shared" si="10"/>
        <v/>
      </c>
      <c r="J258" s="91" t="str">
        <f t="shared" si="3"/>
        <v/>
      </c>
      <c r="K258" s="68" t="str">
        <f t="shared" si="11"/>
        <v/>
      </c>
      <c r="L258" s="64"/>
      <c r="M258" s="64"/>
      <c r="N258" s="64"/>
      <c r="O258" s="64"/>
      <c r="P258" s="4"/>
      <c r="Q258" s="4"/>
      <c r="R258" s="4"/>
      <c r="S258" s="4"/>
      <c r="T258" s="4"/>
      <c r="U258" s="4"/>
      <c r="V258" s="8">
        <f t="shared" si="12"/>
        <v>33611110417593</v>
      </c>
      <c r="W258" s="5" t="str">
        <f t="shared" si="7"/>
        <v>nops</v>
      </c>
      <c r="X258" s="67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</row>
    <row r="259" ht="19.5" customHeight="1">
      <c r="A259" s="56" t="s">
        <v>28</v>
      </c>
      <c r="B259" s="57">
        <v>240.0</v>
      </c>
      <c r="C259" s="89">
        <f t="shared" si="8"/>
        <v>66097239910373</v>
      </c>
      <c r="D259" s="89">
        <f t="shared" si="9"/>
        <v>7344137767819</v>
      </c>
      <c r="E259" s="59"/>
      <c r="F259" s="60" t="str">
        <f t="shared" si="1"/>
        <v>-</v>
      </c>
      <c r="G259" s="5" t="str">
        <f t="shared" si="2"/>
        <v>nops</v>
      </c>
      <c r="H259" s="94"/>
      <c r="I259" s="91" t="str">
        <f t="shared" si="10"/>
        <v/>
      </c>
      <c r="J259" s="91" t="str">
        <f t="shared" si="3"/>
        <v/>
      </c>
      <c r="K259" s="68" t="str">
        <f t="shared" si="11"/>
        <v/>
      </c>
      <c r="L259" s="64"/>
      <c r="M259" s="64"/>
      <c r="N259" s="64"/>
      <c r="O259" s="64"/>
      <c r="P259" s="4"/>
      <c r="Q259" s="4"/>
      <c r="R259" s="4"/>
      <c r="S259" s="4"/>
      <c r="T259" s="4"/>
      <c r="U259" s="4"/>
      <c r="V259" s="8">
        <f t="shared" si="12"/>
        <v>37812499219793</v>
      </c>
      <c r="W259" s="5" t="str">
        <f t="shared" si="7"/>
        <v>nops</v>
      </c>
      <c r="X259" s="67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</row>
    <row r="260" ht="19.5" customHeight="1">
      <c r="A260" s="56" t="s">
        <v>28</v>
      </c>
      <c r="B260" s="57">
        <v>241.0</v>
      </c>
      <c r="C260" s="89">
        <f t="shared" si="8"/>
        <v>74359394899169</v>
      </c>
      <c r="D260" s="89">
        <f t="shared" si="9"/>
        <v>8262154988797</v>
      </c>
      <c r="E260" s="59"/>
      <c r="F260" s="60" t="str">
        <f t="shared" si="1"/>
        <v>-</v>
      </c>
      <c r="G260" s="5" t="str">
        <f t="shared" si="2"/>
        <v>nops</v>
      </c>
      <c r="H260" s="94"/>
      <c r="I260" s="91" t="str">
        <f t="shared" si="10"/>
        <v/>
      </c>
      <c r="J260" s="91" t="str">
        <f t="shared" si="3"/>
        <v/>
      </c>
      <c r="K260" s="68" t="str">
        <f t="shared" si="11"/>
        <v/>
      </c>
      <c r="L260" s="64"/>
      <c r="M260" s="64"/>
      <c r="N260" s="64"/>
      <c r="O260" s="64"/>
      <c r="P260" s="4"/>
      <c r="Q260" s="4"/>
      <c r="R260" s="4"/>
      <c r="S260" s="4"/>
      <c r="T260" s="4"/>
      <c r="U260" s="4"/>
      <c r="V260" s="8">
        <f t="shared" si="12"/>
        <v>42539061622267</v>
      </c>
      <c r="W260" s="5" t="str">
        <f t="shared" si="7"/>
        <v>nops</v>
      </c>
      <c r="X260" s="67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</row>
    <row r="261" ht="19.5" customHeight="1">
      <c r="A261" s="56" t="s">
        <v>28</v>
      </c>
      <c r="B261" s="57">
        <v>242.0</v>
      </c>
      <c r="C261" s="89">
        <f t="shared" si="8"/>
        <v>83654319261566</v>
      </c>
      <c r="D261" s="89">
        <f t="shared" si="9"/>
        <v>9294924362396</v>
      </c>
      <c r="E261" s="59"/>
      <c r="F261" s="60" t="str">
        <f t="shared" si="1"/>
        <v>-</v>
      </c>
      <c r="G261" s="5" t="str">
        <f t="shared" si="2"/>
        <v>nops</v>
      </c>
      <c r="H261" s="94"/>
      <c r="I261" s="91" t="str">
        <f t="shared" si="10"/>
        <v/>
      </c>
      <c r="J261" s="91" t="str">
        <f t="shared" si="3"/>
        <v/>
      </c>
      <c r="K261" s="68" t="str">
        <f t="shared" si="11"/>
        <v/>
      </c>
      <c r="L261" s="64"/>
      <c r="M261" s="64"/>
      <c r="N261" s="64"/>
      <c r="O261" s="64"/>
      <c r="P261" s="4"/>
      <c r="Q261" s="4"/>
      <c r="R261" s="4"/>
      <c r="S261" s="4"/>
      <c r="T261" s="4"/>
      <c r="U261" s="4"/>
      <c r="V261" s="8">
        <f t="shared" si="12"/>
        <v>47856444325050</v>
      </c>
      <c r="W261" s="5" t="str">
        <f t="shared" si="7"/>
        <v>nops</v>
      </c>
      <c r="X261" s="67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</row>
    <row r="262" ht="19.5" customHeight="1">
      <c r="A262" s="56" t="s">
        <v>28</v>
      </c>
      <c r="B262" s="57">
        <v>243.0</v>
      </c>
      <c r="C262" s="89">
        <f t="shared" si="8"/>
        <v>94111109169261</v>
      </c>
      <c r="D262" s="89">
        <f t="shared" si="9"/>
        <v>10456789907696</v>
      </c>
      <c r="E262" s="59"/>
      <c r="F262" s="60" t="str">
        <f t="shared" si="1"/>
        <v>-</v>
      </c>
      <c r="G262" s="5" t="str">
        <f t="shared" si="2"/>
        <v>nops</v>
      </c>
      <c r="H262" s="94"/>
      <c r="I262" s="91" t="str">
        <f t="shared" si="10"/>
        <v/>
      </c>
      <c r="J262" s="91" t="str">
        <f t="shared" si="3"/>
        <v/>
      </c>
      <c r="K262" s="68" t="str">
        <f t="shared" si="11"/>
        <v/>
      </c>
      <c r="L262" s="64"/>
      <c r="M262" s="64"/>
      <c r="N262" s="64"/>
      <c r="O262" s="64"/>
      <c r="P262" s="4"/>
      <c r="Q262" s="4"/>
      <c r="R262" s="4"/>
      <c r="S262" s="4"/>
      <c r="T262" s="4"/>
      <c r="U262" s="4"/>
      <c r="V262" s="8">
        <f t="shared" si="12"/>
        <v>53838499865681</v>
      </c>
      <c r="W262" s="5" t="str">
        <f t="shared" si="7"/>
        <v>nops</v>
      </c>
      <c r="X262" s="67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</row>
    <row r="263" ht="19.5" customHeight="1">
      <c r="A263" s="56" t="s">
        <v>28</v>
      </c>
      <c r="B263" s="57">
        <v>244.0</v>
      </c>
      <c r="C263" s="89">
        <f t="shared" si="8"/>
        <v>105874997815419</v>
      </c>
      <c r="D263" s="89">
        <f t="shared" si="9"/>
        <v>11763888646158</v>
      </c>
      <c r="E263" s="59"/>
      <c r="F263" s="60" t="str">
        <f t="shared" si="1"/>
        <v>-</v>
      </c>
      <c r="G263" s="5" t="str">
        <f t="shared" si="2"/>
        <v>nops</v>
      </c>
      <c r="H263" s="94"/>
      <c r="I263" s="91" t="str">
        <f t="shared" si="10"/>
        <v/>
      </c>
      <c r="J263" s="91" t="str">
        <f t="shared" si="3"/>
        <v/>
      </c>
      <c r="K263" s="68" t="str">
        <f t="shared" si="11"/>
        <v/>
      </c>
      <c r="L263" s="64"/>
      <c r="M263" s="64"/>
      <c r="N263" s="64"/>
      <c r="O263" s="64"/>
      <c r="P263" s="4"/>
      <c r="Q263" s="4"/>
      <c r="R263" s="4"/>
      <c r="S263" s="4"/>
      <c r="T263" s="4"/>
      <c r="U263" s="4"/>
      <c r="V263" s="8">
        <f t="shared" si="12"/>
        <v>60568312348891</v>
      </c>
      <c r="W263" s="5" t="str">
        <f t="shared" si="7"/>
        <v>nops</v>
      </c>
      <c r="X263" s="67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</row>
    <row r="264" ht="19.5" customHeight="1">
      <c r="A264" s="56" t="s">
        <v>28</v>
      </c>
      <c r="B264" s="57">
        <v>245.0</v>
      </c>
      <c r="C264" s="89">
        <f t="shared" si="8"/>
        <v>119109372542346</v>
      </c>
      <c r="D264" s="89">
        <f t="shared" si="9"/>
        <v>13234374726927</v>
      </c>
      <c r="E264" s="59"/>
      <c r="F264" s="60" t="str">
        <f t="shared" si="1"/>
        <v>-</v>
      </c>
      <c r="G264" s="5" t="str">
        <f t="shared" si="2"/>
        <v>nops</v>
      </c>
      <c r="H264" s="94"/>
      <c r="I264" s="91" t="str">
        <f t="shared" si="10"/>
        <v/>
      </c>
      <c r="J264" s="91" t="str">
        <f t="shared" si="3"/>
        <v/>
      </c>
      <c r="K264" s="68" t="str">
        <f t="shared" si="11"/>
        <v/>
      </c>
      <c r="L264" s="64"/>
      <c r="M264" s="64"/>
      <c r="N264" s="64"/>
      <c r="O264" s="64"/>
      <c r="P264" s="4"/>
      <c r="Q264" s="4"/>
      <c r="R264" s="4"/>
      <c r="S264" s="4"/>
      <c r="T264" s="4"/>
      <c r="U264" s="4"/>
      <c r="V264" s="8">
        <f t="shared" si="12"/>
        <v>68139351392503</v>
      </c>
      <c r="W264" s="5" t="str">
        <f t="shared" si="7"/>
        <v>nops</v>
      </c>
      <c r="X264" s="67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</row>
    <row r="265" ht="19.5" customHeight="1">
      <c r="A265" s="56" t="s">
        <v>28</v>
      </c>
      <c r="B265" s="57">
        <v>246.0</v>
      </c>
      <c r="C265" s="89">
        <f t="shared" si="8"/>
        <v>133998044110140</v>
      </c>
      <c r="D265" s="89">
        <f t="shared" si="9"/>
        <v>14888671567793</v>
      </c>
      <c r="E265" s="59"/>
      <c r="F265" s="60" t="str">
        <f t="shared" si="1"/>
        <v>-</v>
      </c>
      <c r="G265" s="5" t="str">
        <f t="shared" si="2"/>
        <v>nops</v>
      </c>
      <c r="H265" s="94"/>
      <c r="I265" s="91" t="str">
        <f t="shared" si="10"/>
        <v/>
      </c>
      <c r="J265" s="91" t="str">
        <f t="shared" si="3"/>
        <v/>
      </c>
      <c r="K265" s="68" t="str">
        <f t="shared" si="11"/>
        <v/>
      </c>
      <c r="L265" s="64"/>
      <c r="M265" s="64"/>
      <c r="N265" s="64"/>
      <c r="O265" s="64"/>
      <c r="P265" s="4"/>
      <c r="Q265" s="4"/>
      <c r="R265" s="4"/>
      <c r="S265" s="4"/>
      <c r="T265" s="4"/>
      <c r="U265" s="4"/>
      <c r="V265" s="8">
        <f t="shared" si="12"/>
        <v>76656770316565</v>
      </c>
      <c r="W265" s="5" t="str">
        <f t="shared" si="7"/>
        <v>nops</v>
      </c>
      <c r="X265" s="67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</row>
    <row r="266" ht="19.5" customHeight="1">
      <c r="A266" s="56" t="s">
        <v>28</v>
      </c>
      <c r="B266" s="57">
        <v>247.0</v>
      </c>
      <c r="C266" s="89">
        <f t="shared" si="8"/>
        <v>150747799623907</v>
      </c>
      <c r="D266" s="89">
        <f t="shared" si="9"/>
        <v>16749755513767</v>
      </c>
      <c r="E266" s="59"/>
      <c r="F266" s="60" t="str">
        <f t="shared" si="1"/>
        <v>-</v>
      </c>
      <c r="G266" s="5" t="str">
        <f t="shared" si="2"/>
        <v>nops</v>
      </c>
      <c r="H266" s="94"/>
      <c r="I266" s="91" t="str">
        <f t="shared" si="10"/>
        <v/>
      </c>
      <c r="J266" s="91" t="str">
        <f t="shared" si="3"/>
        <v/>
      </c>
      <c r="K266" s="68" t="str">
        <f t="shared" si="11"/>
        <v/>
      </c>
      <c r="L266" s="64"/>
      <c r="M266" s="64"/>
      <c r="N266" s="64"/>
      <c r="O266" s="64"/>
      <c r="P266" s="4"/>
      <c r="Q266" s="4"/>
      <c r="R266" s="4"/>
      <c r="S266" s="4"/>
      <c r="T266" s="4"/>
      <c r="U266" s="4"/>
      <c r="V266" s="8">
        <f t="shared" si="12"/>
        <v>86238866606136</v>
      </c>
      <c r="W266" s="5" t="str">
        <f t="shared" si="7"/>
        <v>nops</v>
      </c>
      <c r="X266" s="67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</row>
    <row r="267" ht="19.5" customHeight="1">
      <c r="A267" s="56" t="s">
        <v>28</v>
      </c>
      <c r="B267" s="57">
        <v>248.0</v>
      </c>
      <c r="C267" s="89">
        <f t="shared" si="8"/>
        <v>169591274576895</v>
      </c>
      <c r="D267" s="89">
        <f t="shared" si="9"/>
        <v>18843474952988</v>
      </c>
      <c r="E267" s="59"/>
      <c r="F267" s="60" t="str">
        <f t="shared" si="1"/>
        <v>-</v>
      </c>
      <c r="G267" s="5" t="str">
        <f t="shared" si="2"/>
        <v>nops</v>
      </c>
      <c r="H267" s="94"/>
      <c r="I267" s="91" t="str">
        <f t="shared" si="10"/>
        <v/>
      </c>
      <c r="J267" s="91" t="str">
        <f t="shared" si="3"/>
        <v/>
      </c>
      <c r="K267" s="68" t="str">
        <f t="shared" si="11"/>
        <v/>
      </c>
      <c r="L267" s="64"/>
      <c r="M267" s="64"/>
      <c r="N267" s="64"/>
      <c r="O267" s="64"/>
      <c r="P267" s="4"/>
      <c r="Q267" s="4"/>
      <c r="R267" s="4"/>
      <c r="S267" s="4"/>
      <c r="T267" s="4"/>
      <c r="U267" s="4"/>
      <c r="V267" s="8">
        <f t="shared" si="12"/>
        <v>97018724931903</v>
      </c>
      <c r="W267" s="5" t="str">
        <f t="shared" si="7"/>
        <v>nops</v>
      </c>
      <c r="X267" s="67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</row>
    <row r="268" ht="19.5" customHeight="1">
      <c r="A268" s="56" t="s">
        <v>28</v>
      </c>
      <c r="B268" s="57">
        <v>249.0</v>
      </c>
      <c r="C268" s="89">
        <f t="shared" si="8"/>
        <v>190790183899007</v>
      </c>
      <c r="D268" s="89">
        <f t="shared" si="9"/>
        <v>21198909322112</v>
      </c>
      <c r="E268" s="59"/>
      <c r="F268" s="60" t="str">
        <f t="shared" si="1"/>
        <v>-</v>
      </c>
      <c r="G268" s="5" t="str">
        <f t="shared" si="2"/>
        <v>nops</v>
      </c>
      <c r="H268" s="94"/>
      <c r="I268" s="91" t="str">
        <f t="shared" si="10"/>
        <v/>
      </c>
      <c r="J268" s="91" t="str">
        <f t="shared" si="3"/>
        <v/>
      </c>
      <c r="K268" s="68" t="str">
        <f t="shared" si="11"/>
        <v/>
      </c>
      <c r="L268" s="64"/>
      <c r="M268" s="64"/>
      <c r="N268" s="64"/>
      <c r="O268" s="64"/>
      <c r="P268" s="4"/>
      <c r="Q268" s="4"/>
      <c r="R268" s="4"/>
      <c r="S268" s="4"/>
      <c r="T268" s="4"/>
      <c r="U268" s="4"/>
      <c r="V268" s="8">
        <f t="shared" si="12"/>
        <v>109146065548391</v>
      </c>
      <c r="W268" s="5" t="str">
        <f t="shared" si="7"/>
        <v>nops</v>
      </c>
      <c r="X268" s="67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</row>
    <row r="269" ht="19.5" customHeight="1">
      <c r="A269" s="56" t="s">
        <v>28</v>
      </c>
      <c r="B269" s="57">
        <v>250.0</v>
      </c>
      <c r="C269" s="89">
        <f t="shared" si="8"/>
        <v>214638956886383</v>
      </c>
      <c r="D269" s="89">
        <f t="shared" si="9"/>
        <v>23848772987376</v>
      </c>
      <c r="E269" s="59"/>
      <c r="F269" s="60" t="str">
        <f t="shared" si="1"/>
        <v>-</v>
      </c>
      <c r="G269" s="5" t="str">
        <f t="shared" si="2"/>
        <v>nops</v>
      </c>
      <c r="H269" s="94"/>
      <c r="I269" s="91" t="str">
        <f t="shared" si="10"/>
        <v/>
      </c>
      <c r="J269" s="91" t="str">
        <f t="shared" si="3"/>
        <v/>
      </c>
      <c r="K269" s="68" t="str">
        <f t="shared" si="11"/>
        <v/>
      </c>
      <c r="L269" s="64"/>
      <c r="M269" s="64"/>
      <c r="N269" s="64"/>
      <c r="O269" s="64"/>
      <c r="P269" s="4"/>
      <c r="Q269" s="4"/>
      <c r="R269" s="4"/>
      <c r="S269" s="4"/>
      <c r="T269" s="4"/>
      <c r="U269" s="4"/>
      <c r="V269" s="8">
        <f t="shared" si="12"/>
        <v>122789323741940</v>
      </c>
      <c r="W269" s="5" t="str">
        <f t="shared" si="7"/>
        <v>nops</v>
      </c>
      <c r="X269" s="67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</row>
    <row r="270" ht="19.5" customHeight="1">
      <c r="A270" s="56" t="s">
        <v>28</v>
      </c>
      <c r="B270" s="57">
        <v>251.0</v>
      </c>
      <c r="C270" s="89">
        <f t="shared" si="8"/>
        <v>241468826497181</v>
      </c>
      <c r="D270" s="89">
        <f t="shared" si="9"/>
        <v>26829869610798</v>
      </c>
      <c r="E270" s="59"/>
      <c r="F270" s="60" t="str">
        <f t="shared" si="1"/>
        <v>-</v>
      </c>
      <c r="G270" s="5" t="str">
        <f t="shared" si="2"/>
        <v>nops</v>
      </c>
      <c r="H270" s="94"/>
      <c r="I270" s="91" t="str">
        <f t="shared" si="10"/>
        <v/>
      </c>
      <c r="J270" s="91" t="str">
        <f t="shared" si="3"/>
        <v/>
      </c>
      <c r="K270" s="68" t="str">
        <f t="shared" si="11"/>
        <v/>
      </c>
      <c r="L270" s="64"/>
      <c r="M270" s="64"/>
      <c r="N270" s="64"/>
      <c r="O270" s="64"/>
      <c r="P270" s="4"/>
      <c r="Q270" s="4"/>
      <c r="R270" s="4"/>
      <c r="S270" s="4"/>
      <c r="T270" s="4"/>
      <c r="U270" s="4"/>
      <c r="V270" s="8">
        <f t="shared" si="12"/>
        <v>138137989209682</v>
      </c>
      <c r="W270" s="5" t="str">
        <f t="shared" si="7"/>
        <v>nops</v>
      </c>
      <c r="X270" s="67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</row>
    <row r="271" ht="19.5" customHeight="1">
      <c r="A271" s="56" t="s">
        <v>28</v>
      </c>
      <c r="B271" s="57">
        <v>252.0</v>
      </c>
      <c r="C271" s="89">
        <f t="shared" si="8"/>
        <v>271652429809329</v>
      </c>
      <c r="D271" s="89">
        <f t="shared" si="9"/>
        <v>30183603312148</v>
      </c>
      <c r="E271" s="59"/>
      <c r="F271" s="60" t="str">
        <f t="shared" si="1"/>
        <v>-</v>
      </c>
      <c r="G271" s="5" t="str">
        <f t="shared" si="2"/>
        <v>nops</v>
      </c>
      <c r="H271" s="94"/>
      <c r="I271" s="91" t="str">
        <f t="shared" si="10"/>
        <v/>
      </c>
      <c r="J271" s="91" t="str">
        <f t="shared" si="3"/>
        <v/>
      </c>
      <c r="K271" s="68" t="str">
        <f t="shared" si="11"/>
        <v/>
      </c>
      <c r="L271" s="64"/>
      <c r="M271" s="64"/>
      <c r="N271" s="64"/>
      <c r="O271" s="64"/>
      <c r="P271" s="4"/>
      <c r="Q271" s="4"/>
      <c r="R271" s="4"/>
      <c r="S271" s="4"/>
      <c r="T271" s="4"/>
      <c r="U271" s="4"/>
      <c r="V271" s="8">
        <f t="shared" si="12"/>
        <v>155405237860893</v>
      </c>
      <c r="W271" s="5" t="str">
        <f t="shared" si="7"/>
        <v>nops</v>
      </c>
      <c r="X271" s="67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</row>
    <row r="272" ht="19.5" customHeight="1">
      <c r="A272" s="56" t="s">
        <v>28</v>
      </c>
      <c r="B272" s="57">
        <v>253.0</v>
      </c>
      <c r="C272" s="89">
        <f t="shared" si="8"/>
        <v>305608983535495</v>
      </c>
      <c r="D272" s="89">
        <f t="shared" si="9"/>
        <v>33956553726166</v>
      </c>
      <c r="E272" s="59"/>
      <c r="F272" s="60" t="str">
        <f t="shared" si="1"/>
        <v>-</v>
      </c>
      <c r="G272" s="5" t="str">
        <f t="shared" si="2"/>
        <v>nops</v>
      </c>
      <c r="H272" s="94"/>
      <c r="I272" s="91" t="str">
        <f t="shared" si="10"/>
        <v/>
      </c>
      <c r="J272" s="91" t="str">
        <f t="shared" si="3"/>
        <v/>
      </c>
      <c r="K272" s="68" t="str">
        <f t="shared" si="11"/>
        <v/>
      </c>
      <c r="L272" s="64"/>
      <c r="M272" s="64"/>
      <c r="N272" s="64"/>
      <c r="O272" s="64"/>
      <c r="P272" s="4"/>
      <c r="Q272" s="4"/>
      <c r="R272" s="4"/>
      <c r="S272" s="4"/>
      <c r="T272" s="4"/>
      <c r="U272" s="4"/>
      <c r="V272" s="8">
        <f t="shared" si="12"/>
        <v>174830892593504</v>
      </c>
      <c r="W272" s="5" t="str">
        <f t="shared" si="7"/>
        <v>nops</v>
      </c>
      <c r="X272" s="67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</row>
    <row r="273" ht="19.5" customHeight="1">
      <c r="A273" s="56" t="s">
        <v>28</v>
      </c>
      <c r="B273" s="57">
        <v>254.0</v>
      </c>
      <c r="C273" s="89">
        <f t="shared" si="8"/>
        <v>343810106477432</v>
      </c>
      <c r="D273" s="89">
        <f t="shared" si="9"/>
        <v>38201122941937</v>
      </c>
      <c r="E273" s="59"/>
      <c r="F273" s="60" t="str">
        <f t="shared" si="1"/>
        <v>-</v>
      </c>
      <c r="G273" s="5" t="str">
        <f t="shared" si="2"/>
        <v>nops</v>
      </c>
      <c r="H273" s="94"/>
      <c r="I273" s="91" t="str">
        <f t="shared" si="10"/>
        <v/>
      </c>
      <c r="J273" s="91" t="str">
        <f t="shared" si="3"/>
        <v/>
      </c>
      <c r="K273" s="68" t="str">
        <f t="shared" si="11"/>
        <v/>
      </c>
      <c r="L273" s="64"/>
      <c r="M273" s="64"/>
      <c r="N273" s="64"/>
      <c r="O273" s="64"/>
      <c r="P273" s="4"/>
      <c r="Q273" s="4"/>
      <c r="R273" s="4"/>
      <c r="S273" s="4"/>
      <c r="T273" s="4"/>
      <c r="U273" s="4"/>
      <c r="V273" s="8">
        <f t="shared" si="12"/>
        <v>196684754167692</v>
      </c>
      <c r="W273" s="5" t="str">
        <f t="shared" si="7"/>
        <v>nops</v>
      </c>
      <c r="X273" s="67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</row>
    <row r="274" ht="19.5" customHeight="1">
      <c r="A274" s="56" t="s">
        <v>28</v>
      </c>
      <c r="B274" s="57">
        <v>255.0</v>
      </c>
      <c r="C274" s="89">
        <f t="shared" si="8"/>
        <v>386786369787111</v>
      </c>
      <c r="D274" s="89">
        <f t="shared" si="9"/>
        <v>42976263309679</v>
      </c>
      <c r="E274" s="59"/>
      <c r="F274" s="60" t="str">
        <f t="shared" si="1"/>
        <v>-</v>
      </c>
      <c r="G274" s="5" t="str">
        <f t="shared" si="2"/>
        <v>nops</v>
      </c>
      <c r="H274" s="94"/>
      <c r="I274" s="91" t="str">
        <f t="shared" si="10"/>
        <v/>
      </c>
      <c r="J274" s="91" t="str">
        <f t="shared" si="3"/>
        <v/>
      </c>
      <c r="K274" s="68" t="str">
        <f t="shared" si="11"/>
        <v/>
      </c>
      <c r="L274" s="64"/>
      <c r="M274" s="64"/>
      <c r="N274" s="64"/>
      <c r="O274" s="64"/>
      <c r="P274" s="4"/>
      <c r="Q274" s="4"/>
      <c r="R274" s="4"/>
      <c r="S274" s="4"/>
      <c r="T274" s="4"/>
      <c r="U274" s="4"/>
      <c r="V274" s="8">
        <f t="shared" si="12"/>
        <v>221270348438654</v>
      </c>
      <c r="W274" s="5" t="str">
        <f t="shared" si="7"/>
        <v>nops</v>
      </c>
      <c r="X274" s="67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</row>
    <row r="275" ht="19.5" customHeight="1">
      <c r="A275" s="56" t="s">
        <v>28</v>
      </c>
      <c r="B275" s="57">
        <v>256.0</v>
      </c>
      <c r="C275" s="89">
        <f t="shared" si="8"/>
        <v>435134666010499</v>
      </c>
      <c r="D275" s="89">
        <f t="shared" si="9"/>
        <v>48348296223389</v>
      </c>
      <c r="E275" s="59"/>
      <c r="F275" s="60" t="str">
        <f t="shared" si="1"/>
        <v>-</v>
      </c>
      <c r="G275" s="5" t="str">
        <f t="shared" si="2"/>
        <v>nops</v>
      </c>
      <c r="H275" s="94"/>
      <c r="I275" s="91" t="str">
        <f t="shared" si="10"/>
        <v/>
      </c>
      <c r="J275" s="91" t="str">
        <f t="shared" si="3"/>
        <v/>
      </c>
      <c r="K275" s="68" t="str">
        <f t="shared" si="11"/>
        <v/>
      </c>
      <c r="L275" s="64"/>
      <c r="M275" s="64"/>
      <c r="N275" s="64"/>
      <c r="O275" s="64"/>
      <c r="P275" s="4"/>
      <c r="Q275" s="4"/>
      <c r="R275" s="4"/>
      <c r="S275" s="4"/>
      <c r="T275" s="4"/>
      <c r="U275" s="4"/>
      <c r="V275" s="8">
        <f t="shared" si="12"/>
        <v>248929141993485</v>
      </c>
      <c r="W275" s="5" t="str">
        <f t="shared" si="7"/>
        <v>nops</v>
      </c>
      <c r="X275" s="67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</row>
    <row r="276" ht="19.5" customHeight="1">
      <c r="A276" s="56" t="s">
        <v>28</v>
      </c>
      <c r="B276" s="57">
        <v>257.0</v>
      </c>
      <c r="C276" s="89">
        <f t="shared" si="8"/>
        <v>489526499261812</v>
      </c>
      <c r="D276" s="89">
        <f t="shared" si="9"/>
        <v>54391833251312</v>
      </c>
      <c r="E276" s="59"/>
      <c r="F276" s="60" t="str">
        <f t="shared" si="1"/>
        <v>-</v>
      </c>
      <c r="G276" s="5" t="str">
        <f t="shared" si="2"/>
        <v>nops</v>
      </c>
      <c r="H276" s="94"/>
      <c r="I276" s="91" t="str">
        <f t="shared" si="10"/>
        <v/>
      </c>
      <c r="J276" s="91" t="str">
        <f t="shared" si="3"/>
        <v/>
      </c>
      <c r="K276" s="68" t="str">
        <f t="shared" si="11"/>
        <v/>
      </c>
      <c r="L276" s="64"/>
      <c r="M276" s="64"/>
      <c r="N276" s="64"/>
      <c r="O276" s="64"/>
      <c r="P276" s="4"/>
      <c r="Q276" s="4"/>
      <c r="R276" s="4"/>
      <c r="S276" s="4"/>
      <c r="T276" s="4"/>
      <c r="U276" s="4"/>
      <c r="V276" s="8">
        <f t="shared" si="12"/>
        <v>280045284742671</v>
      </c>
      <c r="W276" s="5" t="str">
        <f t="shared" si="7"/>
        <v>nops</v>
      </c>
      <c r="X276" s="67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</row>
    <row r="277" ht="19.5" customHeight="1">
      <c r="A277" s="56" t="s">
        <v>28</v>
      </c>
      <c r="B277" s="57">
        <v>258.0</v>
      </c>
      <c r="C277" s="89">
        <f t="shared" si="8"/>
        <v>550717311669538</v>
      </c>
      <c r="D277" s="89">
        <f t="shared" si="9"/>
        <v>61190812407727</v>
      </c>
      <c r="E277" s="59"/>
      <c r="F277" s="60" t="str">
        <f t="shared" si="1"/>
        <v>-</v>
      </c>
      <c r="G277" s="5" t="str">
        <f t="shared" si="2"/>
        <v>nops</v>
      </c>
      <c r="H277" s="94"/>
      <c r="I277" s="91" t="str">
        <f t="shared" si="10"/>
        <v/>
      </c>
      <c r="J277" s="91" t="str">
        <f t="shared" si="3"/>
        <v/>
      </c>
      <c r="K277" s="68" t="str">
        <f t="shared" si="11"/>
        <v/>
      </c>
      <c r="L277" s="64"/>
      <c r="M277" s="64"/>
      <c r="N277" s="64"/>
      <c r="O277" s="64"/>
      <c r="P277" s="4"/>
      <c r="Q277" s="4"/>
      <c r="R277" s="4"/>
      <c r="S277" s="4"/>
      <c r="T277" s="4"/>
      <c r="U277" s="4"/>
      <c r="V277" s="8">
        <f t="shared" si="12"/>
        <v>315050945335505</v>
      </c>
      <c r="W277" s="5" t="str">
        <f t="shared" si="7"/>
        <v>nops</v>
      </c>
      <c r="X277" s="67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</row>
    <row r="278" ht="19.5" customHeight="1">
      <c r="A278" s="56" t="s">
        <v>28</v>
      </c>
      <c r="B278" s="57">
        <v>259.0</v>
      </c>
      <c r="C278" s="89">
        <f t="shared" si="8"/>
        <v>619556975628231</v>
      </c>
      <c r="D278" s="89">
        <f t="shared" si="9"/>
        <v>68839663958692</v>
      </c>
      <c r="E278" s="59"/>
      <c r="F278" s="60" t="str">
        <f t="shared" si="1"/>
        <v>-</v>
      </c>
      <c r="G278" s="5" t="str">
        <f t="shared" si="2"/>
        <v>nops</v>
      </c>
      <c r="H278" s="94"/>
      <c r="I278" s="91" t="str">
        <f t="shared" si="10"/>
        <v/>
      </c>
      <c r="J278" s="91" t="str">
        <f t="shared" si="3"/>
        <v/>
      </c>
      <c r="K278" s="68" t="str">
        <f t="shared" si="11"/>
        <v/>
      </c>
      <c r="L278" s="64"/>
      <c r="M278" s="64"/>
      <c r="N278" s="64"/>
      <c r="O278" s="64"/>
      <c r="P278" s="4"/>
      <c r="Q278" s="4"/>
      <c r="R278" s="4"/>
      <c r="S278" s="4"/>
      <c r="T278" s="4"/>
      <c r="U278" s="4"/>
      <c r="V278" s="8">
        <f t="shared" si="12"/>
        <v>354432313502443</v>
      </c>
      <c r="W278" s="5" t="str">
        <f t="shared" si="7"/>
        <v>nops</v>
      </c>
      <c r="X278" s="67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</row>
    <row r="279" ht="19.5" customHeight="1">
      <c r="A279" s="56" t="s">
        <v>28</v>
      </c>
      <c r="B279" s="57">
        <v>260.0</v>
      </c>
      <c r="C279" s="89">
        <f t="shared" si="8"/>
        <v>697001597581760</v>
      </c>
      <c r="D279" s="89">
        <f t="shared" si="9"/>
        <v>77444621953529</v>
      </c>
      <c r="E279" s="59"/>
      <c r="F279" s="60" t="str">
        <f t="shared" si="1"/>
        <v>-</v>
      </c>
      <c r="G279" s="5" t="str">
        <f t="shared" si="2"/>
        <v>nops</v>
      </c>
      <c r="H279" s="94"/>
      <c r="I279" s="91" t="str">
        <f t="shared" si="10"/>
        <v/>
      </c>
      <c r="J279" s="91" t="str">
        <f t="shared" si="3"/>
        <v/>
      </c>
      <c r="K279" s="68" t="str">
        <f t="shared" si="11"/>
        <v/>
      </c>
      <c r="L279" s="64"/>
      <c r="M279" s="64"/>
      <c r="N279" s="64"/>
      <c r="O279" s="64"/>
      <c r="P279" s="4"/>
      <c r="Q279" s="4"/>
      <c r="R279" s="4"/>
      <c r="S279" s="4"/>
      <c r="T279" s="4"/>
      <c r="U279" s="4"/>
      <c r="V279" s="8">
        <f t="shared" si="12"/>
        <v>398736352690249</v>
      </c>
      <c r="W279" s="5" t="str">
        <f t="shared" si="7"/>
        <v>nops</v>
      </c>
      <c r="X279" s="67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</row>
    <row r="280" ht="19.5" customHeight="1">
      <c r="A280" s="56" t="s">
        <v>28</v>
      </c>
      <c r="B280" s="57">
        <v>261.0</v>
      </c>
      <c r="C280" s="89">
        <f t="shared" si="8"/>
        <v>784126797279480</v>
      </c>
      <c r="D280" s="89">
        <f t="shared" si="9"/>
        <v>87125199697720</v>
      </c>
      <c r="E280" s="59"/>
      <c r="F280" s="60" t="str">
        <f t="shared" si="1"/>
        <v>-</v>
      </c>
      <c r="G280" s="5" t="str">
        <f t="shared" si="2"/>
        <v>nops</v>
      </c>
      <c r="H280" s="94"/>
      <c r="I280" s="91" t="str">
        <f t="shared" si="10"/>
        <v/>
      </c>
      <c r="J280" s="91" t="str">
        <f t="shared" si="3"/>
        <v/>
      </c>
      <c r="K280" s="68" t="str">
        <f t="shared" si="11"/>
        <v/>
      </c>
      <c r="L280" s="64"/>
      <c r="M280" s="64"/>
      <c r="N280" s="64"/>
      <c r="O280" s="64"/>
      <c r="P280" s="4"/>
      <c r="Q280" s="4"/>
      <c r="R280" s="4"/>
      <c r="S280" s="4"/>
      <c r="T280" s="4"/>
      <c r="U280" s="4"/>
      <c r="V280" s="8">
        <f t="shared" si="12"/>
        <v>448578396776530</v>
      </c>
      <c r="W280" s="5" t="str">
        <f t="shared" si="7"/>
        <v>nops</v>
      </c>
      <c r="X280" s="67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</row>
    <row r="281" ht="19.5" customHeight="1">
      <c r="A281" s="56" t="s">
        <v>28</v>
      </c>
      <c r="B281" s="57">
        <v>262.0</v>
      </c>
      <c r="C281" s="89">
        <f t="shared" si="8"/>
        <v>882142646939415</v>
      </c>
      <c r="D281" s="89">
        <f t="shared" si="9"/>
        <v>98015849659935</v>
      </c>
      <c r="E281" s="59"/>
      <c r="F281" s="60" t="str">
        <f t="shared" si="1"/>
        <v>-</v>
      </c>
      <c r="G281" s="5" t="str">
        <f t="shared" si="2"/>
        <v>nops</v>
      </c>
      <c r="H281" s="94"/>
      <c r="I281" s="91" t="str">
        <f t="shared" si="10"/>
        <v/>
      </c>
      <c r="J281" s="91" t="str">
        <f t="shared" si="3"/>
        <v/>
      </c>
      <c r="K281" s="68" t="str">
        <f t="shared" si="11"/>
        <v/>
      </c>
      <c r="L281" s="64"/>
      <c r="M281" s="64"/>
      <c r="N281" s="64"/>
      <c r="O281" s="64"/>
      <c r="P281" s="4"/>
      <c r="Q281" s="4"/>
      <c r="R281" s="4"/>
      <c r="S281" s="4"/>
      <c r="T281" s="4"/>
      <c r="U281" s="4"/>
      <c r="V281" s="8">
        <f t="shared" si="12"/>
        <v>504650696373596</v>
      </c>
      <c r="W281" s="5" t="str">
        <f t="shared" si="7"/>
        <v>nops</v>
      </c>
      <c r="X281" s="67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</row>
    <row r="282" ht="19.5" customHeight="1">
      <c r="A282" s="56" t="s">
        <v>28</v>
      </c>
      <c r="B282" s="57">
        <v>263.0</v>
      </c>
      <c r="C282" s="89">
        <f t="shared" si="8"/>
        <v>992410477806841</v>
      </c>
      <c r="D282" s="89">
        <f t="shared" si="9"/>
        <v>110267830867427</v>
      </c>
      <c r="E282" s="59"/>
      <c r="F282" s="60" t="str">
        <f t="shared" si="1"/>
        <v>-</v>
      </c>
      <c r="G282" s="5" t="str">
        <f t="shared" si="2"/>
        <v>nops</v>
      </c>
      <c r="H282" s="94"/>
      <c r="I282" s="91" t="str">
        <f t="shared" si="10"/>
        <v/>
      </c>
      <c r="J282" s="91" t="str">
        <f t="shared" si="3"/>
        <v/>
      </c>
      <c r="K282" s="68" t="str">
        <f t="shared" si="11"/>
        <v/>
      </c>
      <c r="L282" s="64"/>
      <c r="M282" s="64"/>
      <c r="N282" s="64"/>
      <c r="O282" s="64"/>
      <c r="P282" s="4"/>
      <c r="Q282" s="4"/>
      <c r="R282" s="4"/>
      <c r="S282" s="4"/>
      <c r="T282" s="4"/>
      <c r="U282" s="4"/>
      <c r="V282" s="8">
        <f t="shared" si="12"/>
        <v>567732033420295</v>
      </c>
      <c r="W282" s="5" t="str">
        <f t="shared" si="7"/>
        <v>nops</v>
      </c>
      <c r="X282" s="67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</row>
    <row r="283" ht="19.5" customHeight="1">
      <c r="A283" s="56" t="s">
        <v>28</v>
      </c>
      <c r="B283" s="57">
        <v>264.0</v>
      </c>
      <c r="C283" s="89">
        <f t="shared" si="8"/>
        <v>1.11646E+15</v>
      </c>
      <c r="D283" s="89">
        <f t="shared" si="9"/>
        <v>124051309725855</v>
      </c>
      <c r="E283" s="59"/>
      <c r="F283" s="60" t="str">
        <f t="shared" si="1"/>
        <v>-</v>
      </c>
      <c r="G283" s="5" t="str">
        <f t="shared" si="2"/>
        <v>nops</v>
      </c>
      <c r="H283" s="94"/>
      <c r="I283" s="91" t="str">
        <f t="shared" si="10"/>
        <v/>
      </c>
      <c r="J283" s="91" t="str">
        <f t="shared" si="3"/>
        <v/>
      </c>
      <c r="K283" s="68" t="str">
        <f t="shared" si="11"/>
        <v/>
      </c>
      <c r="L283" s="64"/>
      <c r="M283" s="64"/>
      <c r="N283" s="64"/>
      <c r="O283" s="64"/>
      <c r="P283" s="4"/>
      <c r="Q283" s="4"/>
      <c r="R283" s="4"/>
      <c r="S283" s="4"/>
      <c r="T283" s="4"/>
      <c r="U283" s="4"/>
      <c r="V283" s="8">
        <f t="shared" si="12"/>
        <v>638698537597832</v>
      </c>
      <c r="W283" s="5" t="str">
        <f t="shared" si="7"/>
        <v>nops</v>
      </c>
      <c r="X283" s="67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</row>
    <row r="284" ht="19.5" customHeight="1">
      <c r="A284" s="56" t="s">
        <v>28</v>
      </c>
      <c r="B284" s="57">
        <v>265.0</v>
      </c>
      <c r="C284" s="89">
        <f t="shared" si="8"/>
        <v>1.25602E+15</v>
      </c>
      <c r="D284" s="89">
        <f t="shared" si="9"/>
        <v>139557723441587</v>
      </c>
      <c r="E284" s="59"/>
      <c r="F284" s="60" t="str">
        <f t="shared" si="1"/>
        <v>-</v>
      </c>
      <c r="G284" s="5" t="str">
        <f t="shared" si="2"/>
        <v>nops</v>
      </c>
      <c r="H284" s="94"/>
      <c r="I284" s="91" t="str">
        <f t="shared" si="10"/>
        <v/>
      </c>
      <c r="J284" s="91" t="str">
        <f t="shared" si="3"/>
        <v/>
      </c>
      <c r="K284" s="68" t="str">
        <f t="shared" si="11"/>
        <v/>
      </c>
      <c r="L284" s="64"/>
      <c r="M284" s="64"/>
      <c r="N284" s="64"/>
      <c r="O284" s="64"/>
      <c r="P284" s="4"/>
      <c r="Q284" s="4"/>
      <c r="R284" s="4"/>
      <c r="S284" s="4"/>
      <c r="T284" s="4"/>
      <c r="U284" s="4"/>
      <c r="V284" s="8">
        <f t="shared" si="12"/>
        <v>718535854797561</v>
      </c>
      <c r="W284" s="5" t="str">
        <f t="shared" si="7"/>
        <v>nops</v>
      </c>
      <c r="X284" s="67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</row>
    <row r="285" ht="19.5" customHeight="1">
      <c r="A285" s="56" t="s">
        <v>28</v>
      </c>
      <c r="B285" s="57">
        <v>266.0</v>
      </c>
      <c r="C285" s="89">
        <f t="shared" si="8"/>
        <v>1.41302E+15</v>
      </c>
      <c r="D285" s="89">
        <f t="shared" si="9"/>
        <v>157002438871786</v>
      </c>
      <c r="E285" s="59"/>
      <c r="F285" s="60" t="str">
        <f t="shared" si="1"/>
        <v>-</v>
      </c>
      <c r="G285" s="5" t="str">
        <f t="shared" si="2"/>
        <v>nops</v>
      </c>
      <c r="H285" s="94"/>
      <c r="I285" s="91" t="str">
        <f t="shared" si="10"/>
        <v/>
      </c>
      <c r="J285" s="91" t="str">
        <f t="shared" si="3"/>
        <v/>
      </c>
      <c r="K285" s="68" t="str">
        <f t="shared" si="11"/>
        <v/>
      </c>
      <c r="L285" s="64"/>
      <c r="M285" s="64"/>
      <c r="N285" s="64"/>
      <c r="O285" s="64"/>
      <c r="P285" s="4"/>
      <c r="Q285" s="4"/>
      <c r="R285" s="4"/>
      <c r="S285" s="4"/>
      <c r="T285" s="4"/>
      <c r="U285" s="4"/>
      <c r="V285" s="8">
        <f t="shared" si="12"/>
        <v>808352836647256</v>
      </c>
      <c r="W285" s="5" t="str">
        <f t="shared" si="7"/>
        <v>nops</v>
      </c>
      <c r="X285" s="67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</row>
    <row r="286" ht="19.5" customHeight="1">
      <c r="A286" s="56" t="s">
        <v>28</v>
      </c>
      <c r="B286" s="57">
        <v>267.0</v>
      </c>
      <c r="C286" s="89">
        <f t="shared" si="8"/>
        <v>1.58965E+15</v>
      </c>
      <c r="D286" s="89">
        <f t="shared" si="9"/>
        <v>176627743730759</v>
      </c>
      <c r="E286" s="59"/>
      <c r="F286" s="60" t="str">
        <f t="shared" si="1"/>
        <v>-</v>
      </c>
      <c r="G286" s="5" t="str">
        <f t="shared" si="2"/>
        <v>nops</v>
      </c>
      <c r="H286" s="94"/>
      <c r="I286" s="91" t="str">
        <f t="shared" si="10"/>
        <v/>
      </c>
      <c r="J286" s="91" t="str">
        <f t="shared" si="3"/>
        <v/>
      </c>
      <c r="K286" s="68" t="str">
        <f t="shared" si="11"/>
        <v/>
      </c>
      <c r="L286" s="64"/>
      <c r="M286" s="64"/>
      <c r="N286" s="64"/>
      <c r="O286" s="64"/>
      <c r="P286" s="4"/>
      <c r="Q286" s="4"/>
      <c r="R286" s="4"/>
      <c r="S286" s="4"/>
      <c r="T286" s="4"/>
      <c r="U286" s="4"/>
      <c r="V286" s="8">
        <f t="shared" si="12"/>
        <v>909396941228163</v>
      </c>
      <c r="W286" s="5" t="str">
        <f t="shared" si="7"/>
        <v>nops</v>
      </c>
      <c r="X286" s="67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</row>
    <row r="287" ht="19.5" customHeight="1">
      <c r="A287" s="56" t="s">
        <v>28</v>
      </c>
      <c r="B287" s="57">
        <v>268.0</v>
      </c>
      <c r="C287" s="89">
        <f t="shared" si="8"/>
        <v>1.78836E+15</v>
      </c>
      <c r="D287" s="89">
        <f t="shared" si="9"/>
        <v>198706211697104</v>
      </c>
      <c r="E287" s="59"/>
      <c r="F287" s="60" t="str">
        <f t="shared" si="1"/>
        <v>-</v>
      </c>
      <c r="G287" s="5" t="str">
        <f t="shared" si="2"/>
        <v>nops</v>
      </c>
      <c r="H287" s="94"/>
      <c r="I287" s="91" t="str">
        <f t="shared" si="10"/>
        <v/>
      </c>
      <c r="J287" s="91" t="str">
        <f t="shared" si="3"/>
        <v/>
      </c>
      <c r="K287" s="68" t="str">
        <f t="shared" si="11"/>
        <v/>
      </c>
      <c r="L287" s="64"/>
      <c r="M287" s="64"/>
      <c r="N287" s="64"/>
      <c r="O287" s="64"/>
      <c r="P287" s="4"/>
      <c r="Q287" s="4"/>
      <c r="R287" s="4"/>
      <c r="S287" s="4"/>
      <c r="T287" s="4"/>
      <c r="U287" s="4"/>
      <c r="V287" s="8">
        <f t="shared" si="12"/>
        <v>1.02307E+15</v>
      </c>
      <c r="W287" s="5" t="str">
        <f t="shared" si="7"/>
        <v>nops</v>
      </c>
      <c r="X287" s="67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</row>
    <row r="288" ht="19.5" customHeight="1">
      <c r="A288" s="56" t="s">
        <v>28</v>
      </c>
      <c r="B288" s="57">
        <v>269.0</v>
      </c>
      <c r="C288" s="89">
        <f t="shared" si="8"/>
        <v>2.0119E+15</v>
      </c>
      <c r="D288" s="89">
        <f t="shared" si="9"/>
        <v>223544488159242</v>
      </c>
      <c r="E288" s="59"/>
      <c r="F288" s="60" t="str">
        <f t="shared" si="1"/>
        <v>-</v>
      </c>
      <c r="G288" s="5" t="str">
        <f t="shared" si="2"/>
        <v>nops</v>
      </c>
      <c r="H288" s="94"/>
      <c r="I288" s="91" t="str">
        <f t="shared" si="10"/>
        <v/>
      </c>
      <c r="J288" s="91" t="str">
        <f t="shared" si="3"/>
        <v/>
      </c>
      <c r="K288" s="68" t="str">
        <f t="shared" si="11"/>
        <v/>
      </c>
      <c r="L288" s="64"/>
      <c r="M288" s="64"/>
      <c r="N288" s="64"/>
      <c r="O288" s="64"/>
      <c r="P288" s="4"/>
      <c r="Q288" s="4"/>
      <c r="R288" s="4"/>
      <c r="S288" s="4"/>
      <c r="T288" s="4"/>
      <c r="U288" s="4"/>
      <c r="V288" s="8">
        <f t="shared" si="12"/>
        <v>1.15096E+15</v>
      </c>
      <c r="W288" s="5" t="str">
        <f t="shared" si="7"/>
        <v>nops</v>
      </c>
      <c r="X288" s="67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</row>
    <row r="289" ht="19.5" customHeight="1">
      <c r="A289" s="56" t="s">
        <v>28</v>
      </c>
      <c r="B289" s="57">
        <v>270.0</v>
      </c>
      <c r="C289" s="89">
        <f t="shared" si="8"/>
        <v>2.26339E+15</v>
      </c>
      <c r="D289" s="89">
        <f t="shared" si="9"/>
        <v>251487549179147</v>
      </c>
      <c r="E289" s="59"/>
      <c r="F289" s="60" t="str">
        <f t="shared" si="1"/>
        <v>-</v>
      </c>
      <c r="G289" s="5" t="str">
        <f t="shared" si="2"/>
        <v>nops</v>
      </c>
      <c r="H289" s="94"/>
      <c r="I289" s="91" t="str">
        <f t="shared" si="10"/>
        <v/>
      </c>
      <c r="J289" s="91" t="str">
        <f t="shared" si="3"/>
        <v/>
      </c>
      <c r="K289" s="68" t="str">
        <f t="shared" si="11"/>
        <v/>
      </c>
      <c r="L289" s="64"/>
      <c r="M289" s="64"/>
      <c r="N289" s="64"/>
      <c r="O289" s="64"/>
      <c r="P289" s="4"/>
      <c r="Q289" s="4"/>
      <c r="R289" s="4"/>
      <c r="S289" s="4"/>
      <c r="T289" s="4"/>
      <c r="U289" s="4"/>
      <c r="V289" s="8">
        <f t="shared" si="12"/>
        <v>1.29482E+15</v>
      </c>
      <c r="W289" s="5" t="str">
        <f t="shared" si="7"/>
        <v>nops</v>
      </c>
      <c r="X289" s="67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</row>
    <row r="290" ht="19.5" customHeight="1">
      <c r="A290" s="56" t="s">
        <v>28</v>
      </c>
      <c r="B290" s="57">
        <v>271.0</v>
      </c>
      <c r="C290" s="89">
        <f t="shared" si="8"/>
        <v>2.54631E+15</v>
      </c>
      <c r="D290" s="89">
        <f t="shared" si="9"/>
        <v>282923492826540</v>
      </c>
      <c r="E290" s="59"/>
      <c r="F290" s="60" t="str">
        <f t="shared" si="1"/>
        <v>-</v>
      </c>
      <c r="G290" s="5" t="str">
        <f t="shared" si="2"/>
        <v>nops</v>
      </c>
      <c r="H290" s="94"/>
      <c r="I290" s="91" t="str">
        <f t="shared" si="10"/>
        <v/>
      </c>
      <c r="J290" s="91" t="str">
        <f t="shared" si="3"/>
        <v/>
      </c>
      <c r="K290" s="68" t="str">
        <f t="shared" si="11"/>
        <v/>
      </c>
      <c r="L290" s="64"/>
      <c r="M290" s="64"/>
      <c r="N290" s="64"/>
      <c r="O290" s="64"/>
      <c r="P290" s="4"/>
      <c r="Q290" s="4"/>
      <c r="R290" s="4"/>
      <c r="S290" s="4"/>
      <c r="T290" s="4"/>
      <c r="U290" s="4"/>
      <c r="V290" s="8">
        <f t="shared" si="12"/>
        <v>1.45668E+15</v>
      </c>
      <c r="W290" s="5" t="str">
        <f t="shared" si="7"/>
        <v>nops</v>
      </c>
      <c r="X290" s="67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</row>
    <row r="291" ht="19.5" customHeight="1">
      <c r="A291" s="56" t="s">
        <v>28</v>
      </c>
      <c r="B291" s="57">
        <v>272.0</v>
      </c>
      <c r="C291" s="89">
        <f t="shared" si="8"/>
        <v>2.8646E+15</v>
      </c>
      <c r="D291" s="89">
        <f t="shared" si="9"/>
        <v>318288929429858</v>
      </c>
      <c r="E291" s="59"/>
      <c r="F291" s="60" t="str">
        <f t="shared" si="1"/>
        <v>-</v>
      </c>
      <c r="G291" s="5" t="str">
        <f t="shared" si="2"/>
        <v>nops</v>
      </c>
      <c r="H291" s="94"/>
      <c r="I291" s="91" t="str">
        <f t="shared" si="10"/>
        <v/>
      </c>
      <c r="J291" s="91" t="str">
        <f t="shared" si="3"/>
        <v/>
      </c>
      <c r="K291" s="68" t="str">
        <f t="shared" si="11"/>
        <v/>
      </c>
      <c r="L291" s="64"/>
      <c r="M291" s="64"/>
      <c r="N291" s="64"/>
      <c r="O291" s="64"/>
      <c r="P291" s="4"/>
      <c r="Q291" s="4"/>
      <c r="R291" s="4"/>
      <c r="S291" s="4"/>
      <c r="T291" s="4"/>
      <c r="U291" s="4"/>
      <c r="V291" s="8">
        <f t="shared" si="12"/>
        <v>1.63876E+15</v>
      </c>
      <c r="W291" s="5" t="str">
        <f t="shared" si="7"/>
        <v>nops</v>
      </c>
      <c r="X291" s="67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</row>
    <row r="292" ht="19.5" customHeight="1">
      <c r="A292" s="56" t="s">
        <v>28</v>
      </c>
      <c r="B292" s="57">
        <v>273.0</v>
      </c>
      <c r="C292" s="89">
        <f t="shared" si="8"/>
        <v>3.22268E+15</v>
      </c>
      <c r="D292" s="89">
        <f t="shared" si="9"/>
        <v>358075045608590</v>
      </c>
      <c r="E292" s="59"/>
      <c r="F292" s="60" t="str">
        <f t="shared" si="1"/>
        <v>-</v>
      </c>
      <c r="G292" s="5" t="str">
        <f t="shared" si="2"/>
        <v>nops</v>
      </c>
      <c r="H292" s="94"/>
      <c r="I292" s="91" t="str">
        <f t="shared" si="10"/>
        <v/>
      </c>
      <c r="J292" s="91" t="str">
        <f t="shared" si="3"/>
        <v/>
      </c>
      <c r="K292" s="68" t="str">
        <f t="shared" si="11"/>
        <v/>
      </c>
      <c r="L292" s="64"/>
      <c r="M292" s="64"/>
      <c r="N292" s="64"/>
      <c r="O292" s="64"/>
      <c r="P292" s="4"/>
      <c r="Q292" s="4"/>
      <c r="R292" s="4"/>
      <c r="S292" s="4"/>
      <c r="T292" s="4"/>
      <c r="U292" s="4"/>
      <c r="V292" s="8">
        <f t="shared" si="12"/>
        <v>1.84361E+15</v>
      </c>
      <c r="W292" s="5" t="str">
        <f t="shared" si="7"/>
        <v>nops</v>
      </c>
      <c r="X292" s="67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</row>
    <row r="293" ht="19.5" customHeight="1">
      <c r="A293" s="56" t="s">
        <v>28</v>
      </c>
      <c r="B293" s="57">
        <v>274.0</v>
      </c>
      <c r="C293" s="89">
        <f t="shared" si="8"/>
        <v>3.62551E+15</v>
      </c>
      <c r="D293" s="89">
        <f t="shared" si="9"/>
        <v>402834426309663</v>
      </c>
      <c r="E293" s="59"/>
      <c r="F293" s="60" t="str">
        <f t="shared" si="1"/>
        <v>-</v>
      </c>
      <c r="G293" s="5" t="str">
        <f t="shared" si="2"/>
        <v>nops</v>
      </c>
      <c r="H293" s="94"/>
      <c r="I293" s="91" t="str">
        <f t="shared" si="10"/>
        <v/>
      </c>
      <c r="J293" s="91" t="str">
        <f t="shared" si="3"/>
        <v/>
      </c>
      <c r="K293" s="68" t="str">
        <f t="shared" si="11"/>
        <v/>
      </c>
      <c r="L293" s="64"/>
      <c r="M293" s="64"/>
      <c r="N293" s="64"/>
      <c r="O293" s="64"/>
      <c r="P293" s="4"/>
      <c r="Q293" s="4"/>
      <c r="R293" s="4"/>
      <c r="S293" s="4"/>
      <c r="T293" s="4"/>
      <c r="U293" s="4"/>
      <c r="V293" s="8">
        <f t="shared" si="12"/>
        <v>2.07406E+15</v>
      </c>
      <c r="W293" s="5" t="str">
        <f t="shared" si="7"/>
        <v>nops</v>
      </c>
      <c r="X293" s="67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</row>
    <row r="294" ht="19.5" customHeight="1">
      <c r="A294" s="56" t="s">
        <v>28</v>
      </c>
      <c r="B294" s="57">
        <v>275.0</v>
      </c>
      <c r="C294" s="89">
        <f t="shared" si="8"/>
        <v>4.0787E+15</v>
      </c>
      <c r="D294" s="89">
        <f t="shared" si="9"/>
        <v>453188729598371</v>
      </c>
      <c r="E294" s="59"/>
      <c r="F294" s="60" t="str">
        <f t="shared" si="1"/>
        <v>-</v>
      </c>
      <c r="G294" s="5" t="str">
        <f t="shared" si="2"/>
        <v>nops</v>
      </c>
      <c r="H294" s="94"/>
      <c r="I294" s="91" t="str">
        <f t="shared" si="10"/>
        <v/>
      </c>
      <c r="J294" s="91" t="str">
        <f t="shared" si="3"/>
        <v/>
      </c>
      <c r="K294" s="68" t="str">
        <f t="shared" si="11"/>
        <v/>
      </c>
      <c r="L294" s="64"/>
      <c r="M294" s="64"/>
      <c r="N294" s="64"/>
      <c r="O294" s="64"/>
      <c r="P294" s="4"/>
      <c r="Q294" s="4"/>
      <c r="R294" s="4"/>
      <c r="S294" s="4"/>
      <c r="T294" s="4"/>
      <c r="U294" s="4"/>
      <c r="V294" s="8">
        <f t="shared" si="12"/>
        <v>2.33332E+15</v>
      </c>
      <c r="W294" s="5" t="str">
        <f t="shared" si="7"/>
        <v>nops</v>
      </c>
      <c r="X294" s="67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</row>
    <row r="295" ht="19.5" customHeight="1">
      <c r="A295" s="56" t="s">
        <v>28</v>
      </c>
      <c r="B295" s="57">
        <v>276.0</v>
      </c>
      <c r="C295" s="89">
        <f t="shared" si="8"/>
        <v>4.58854E+15</v>
      </c>
      <c r="D295" s="89">
        <f t="shared" si="9"/>
        <v>509837320798168</v>
      </c>
      <c r="E295" s="59"/>
      <c r="F295" s="60" t="str">
        <f t="shared" si="1"/>
        <v>-</v>
      </c>
      <c r="G295" s="5" t="str">
        <f t="shared" si="2"/>
        <v>nops</v>
      </c>
      <c r="H295" s="94"/>
      <c r="I295" s="91" t="str">
        <f t="shared" si="10"/>
        <v/>
      </c>
      <c r="J295" s="91" t="str">
        <f t="shared" si="3"/>
        <v/>
      </c>
      <c r="K295" s="68" t="str">
        <f t="shared" si="11"/>
        <v/>
      </c>
      <c r="L295" s="64"/>
      <c r="M295" s="64"/>
      <c r="N295" s="64"/>
      <c r="O295" s="64"/>
      <c r="P295" s="4"/>
      <c r="Q295" s="4"/>
      <c r="R295" s="4"/>
      <c r="S295" s="4"/>
      <c r="T295" s="4"/>
      <c r="U295" s="4"/>
      <c r="V295" s="8">
        <f t="shared" si="12"/>
        <v>2.62498E+15</v>
      </c>
      <c r="W295" s="5" t="str">
        <f t="shared" si="7"/>
        <v>nops</v>
      </c>
      <c r="X295" s="67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</row>
    <row r="296" ht="19.5" customHeight="1">
      <c r="A296" s="56" t="s">
        <v>28</v>
      </c>
      <c r="B296" s="57">
        <v>277.0</v>
      </c>
      <c r="C296" s="89">
        <f t="shared" si="8"/>
        <v>5.1621E+15</v>
      </c>
      <c r="D296" s="89">
        <f t="shared" si="9"/>
        <v>573566985897938</v>
      </c>
      <c r="E296" s="59"/>
      <c r="F296" s="60" t="str">
        <f t="shared" si="1"/>
        <v>-</v>
      </c>
      <c r="G296" s="5" t="str">
        <f t="shared" si="2"/>
        <v>nops</v>
      </c>
      <c r="H296" s="94"/>
      <c r="I296" s="91" t="str">
        <f t="shared" si="10"/>
        <v/>
      </c>
      <c r="J296" s="91" t="str">
        <f t="shared" si="3"/>
        <v/>
      </c>
      <c r="K296" s="68" t="str">
        <f t="shared" si="11"/>
        <v/>
      </c>
      <c r="L296" s="64"/>
      <c r="M296" s="64"/>
      <c r="N296" s="64"/>
      <c r="O296" s="64"/>
      <c r="P296" s="4"/>
      <c r="Q296" s="4"/>
      <c r="R296" s="4"/>
      <c r="S296" s="4"/>
      <c r="T296" s="4"/>
      <c r="U296" s="4"/>
      <c r="V296" s="8">
        <f t="shared" si="12"/>
        <v>2.9531E+15</v>
      </c>
      <c r="W296" s="5" t="str">
        <f t="shared" si="7"/>
        <v>nops</v>
      </c>
      <c r="X296" s="67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</row>
    <row r="297" ht="19.5" customHeight="1">
      <c r="A297" s="56" t="s">
        <v>28</v>
      </c>
      <c r="B297" s="57">
        <v>278.0</v>
      </c>
      <c r="C297" s="89">
        <f t="shared" si="8"/>
        <v>5.80737E+15</v>
      </c>
      <c r="D297" s="89">
        <f t="shared" si="9"/>
        <v>645262859135181</v>
      </c>
      <c r="E297" s="59"/>
      <c r="F297" s="60" t="str">
        <f t="shared" si="1"/>
        <v>-</v>
      </c>
      <c r="G297" s="5" t="str">
        <f t="shared" si="2"/>
        <v>nops</v>
      </c>
      <c r="H297" s="94"/>
      <c r="I297" s="91" t="str">
        <f t="shared" si="10"/>
        <v/>
      </c>
      <c r="J297" s="91" t="str">
        <f t="shared" si="3"/>
        <v/>
      </c>
      <c r="K297" s="68" t="str">
        <f t="shared" si="11"/>
        <v/>
      </c>
      <c r="L297" s="64"/>
      <c r="M297" s="64"/>
      <c r="N297" s="64"/>
      <c r="O297" s="64"/>
      <c r="P297" s="4"/>
      <c r="Q297" s="4"/>
      <c r="R297" s="4"/>
      <c r="S297" s="4"/>
      <c r="T297" s="4"/>
      <c r="U297" s="4"/>
      <c r="V297" s="8">
        <f t="shared" si="12"/>
        <v>3.32224E+15</v>
      </c>
      <c r="W297" s="5" t="str">
        <f t="shared" si="7"/>
        <v>nops</v>
      </c>
      <c r="X297" s="67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</row>
    <row r="298" ht="19.5" customHeight="1">
      <c r="A298" s="56" t="s">
        <v>28</v>
      </c>
      <c r="B298" s="57">
        <v>279.0</v>
      </c>
      <c r="C298" s="89">
        <f t="shared" si="8"/>
        <v>6.53329E+15</v>
      </c>
      <c r="D298" s="89">
        <f t="shared" si="9"/>
        <v>725920716527078</v>
      </c>
      <c r="E298" s="59"/>
      <c r="F298" s="60" t="str">
        <f t="shared" si="1"/>
        <v>-</v>
      </c>
      <c r="G298" s="5" t="str">
        <f t="shared" si="2"/>
        <v>nops</v>
      </c>
      <c r="H298" s="94"/>
      <c r="I298" s="91" t="str">
        <f t="shared" si="10"/>
        <v/>
      </c>
      <c r="J298" s="91" t="str">
        <f t="shared" si="3"/>
        <v/>
      </c>
      <c r="K298" s="68" t="str">
        <f t="shared" si="11"/>
        <v/>
      </c>
      <c r="L298" s="64"/>
      <c r="M298" s="64"/>
      <c r="N298" s="64"/>
      <c r="O298" s="64"/>
      <c r="P298" s="4"/>
      <c r="Q298" s="4"/>
      <c r="R298" s="4"/>
      <c r="S298" s="4"/>
      <c r="T298" s="4"/>
      <c r="U298" s="4"/>
      <c r="V298" s="8">
        <f t="shared" si="12"/>
        <v>3.73752E+15</v>
      </c>
      <c r="W298" s="5" t="str">
        <f t="shared" si="7"/>
        <v>nops</v>
      </c>
      <c r="X298" s="67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</row>
    <row r="299" ht="19.5" customHeight="1">
      <c r="A299" s="56" t="s">
        <v>28</v>
      </c>
      <c r="B299" s="57">
        <v>280.0</v>
      </c>
      <c r="C299" s="89">
        <f t="shared" si="8"/>
        <v>7.34995E+15</v>
      </c>
      <c r="D299" s="89">
        <f t="shared" si="9"/>
        <v>816660806092963</v>
      </c>
      <c r="E299" s="59"/>
      <c r="F299" s="60" t="str">
        <f t="shared" si="1"/>
        <v>-</v>
      </c>
      <c r="G299" s="5" t="str">
        <f t="shared" si="2"/>
        <v>nops</v>
      </c>
      <c r="H299" s="94"/>
      <c r="I299" s="91" t="str">
        <f t="shared" si="10"/>
        <v/>
      </c>
      <c r="J299" s="91" t="str">
        <f t="shared" si="3"/>
        <v/>
      </c>
      <c r="K299" s="68" t="str">
        <f t="shared" si="11"/>
        <v/>
      </c>
      <c r="L299" s="64"/>
      <c r="M299" s="64"/>
      <c r="N299" s="64"/>
      <c r="O299" s="64"/>
      <c r="P299" s="4"/>
      <c r="Q299" s="4"/>
      <c r="R299" s="4"/>
      <c r="S299" s="4"/>
      <c r="T299" s="4"/>
      <c r="U299" s="4"/>
      <c r="V299" s="8">
        <f t="shared" si="12"/>
        <v>4.20471E+15</v>
      </c>
      <c r="W299" s="5" t="str">
        <f t="shared" si="7"/>
        <v>nops</v>
      </c>
      <c r="X299" s="67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</row>
    <row r="300" ht="19.5" customHeight="1">
      <c r="A300" s="56" t="s">
        <v>28</v>
      </c>
      <c r="B300" s="57">
        <v>281.0</v>
      </c>
      <c r="C300" s="89">
        <f t="shared" si="8"/>
        <v>8.26869E+15</v>
      </c>
      <c r="D300" s="89">
        <f t="shared" si="9"/>
        <v>918743406854584</v>
      </c>
      <c r="E300" s="59"/>
      <c r="F300" s="60" t="str">
        <f t="shared" si="1"/>
        <v>-</v>
      </c>
      <c r="G300" s="5" t="str">
        <f t="shared" si="2"/>
        <v>nops</v>
      </c>
      <c r="H300" s="94"/>
      <c r="I300" s="91" t="str">
        <f t="shared" si="10"/>
        <v/>
      </c>
      <c r="J300" s="91" t="str">
        <f t="shared" si="3"/>
        <v/>
      </c>
      <c r="K300" s="68" t="str">
        <f t="shared" si="11"/>
        <v/>
      </c>
      <c r="L300" s="64"/>
      <c r="M300" s="64"/>
      <c r="N300" s="64"/>
      <c r="O300" s="64"/>
      <c r="P300" s="4"/>
      <c r="Q300" s="4"/>
      <c r="R300" s="4"/>
      <c r="S300" s="4"/>
      <c r="T300" s="4"/>
      <c r="U300" s="4"/>
      <c r="V300" s="8">
        <f t="shared" si="12"/>
        <v>4.7303E+15</v>
      </c>
      <c r="W300" s="5" t="str">
        <f t="shared" si="7"/>
        <v>nops</v>
      </c>
      <c r="X300" s="67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</row>
    <row r="301" ht="19.5" customHeight="1">
      <c r="A301" s="56" t="s">
        <v>28</v>
      </c>
      <c r="B301" s="57">
        <v>282.0</v>
      </c>
      <c r="C301" s="89">
        <f t="shared" si="8"/>
        <v>9.30228E+15</v>
      </c>
      <c r="D301" s="89">
        <f t="shared" si="9"/>
        <v>1.03359E+15</v>
      </c>
      <c r="E301" s="59"/>
      <c r="F301" s="60" t="str">
        <f t="shared" si="1"/>
        <v>-</v>
      </c>
      <c r="G301" s="5" t="str">
        <f t="shared" si="2"/>
        <v>nops</v>
      </c>
      <c r="H301" s="94"/>
      <c r="I301" s="91" t="str">
        <f t="shared" si="10"/>
        <v/>
      </c>
      <c r="J301" s="91" t="str">
        <f t="shared" si="3"/>
        <v/>
      </c>
      <c r="K301" s="68" t="str">
        <f t="shared" si="11"/>
        <v/>
      </c>
      <c r="L301" s="64"/>
      <c r="M301" s="64"/>
      <c r="N301" s="64"/>
      <c r="O301" s="64"/>
      <c r="P301" s="4"/>
      <c r="Q301" s="4"/>
      <c r="R301" s="4"/>
      <c r="S301" s="4"/>
      <c r="T301" s="4"/>
      <c r="U301" s="4"/>
      <c r="V301" s="8">
        <f t="shared" si="12"/>
        <v>5.32159E+15</v>
      </c>
      <c r="W301" s="5" t="str">
        <f t="shared" si="7"/>
        <v>nops</v>
      </c>
      <c r="X301" s="67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</row>
    <row r="302" ht="19.5" customHeight="1">
      <c r="A302" s="56" t="s">
        <v>28</v>
      </c>
      <c r="B302" s="57">
        <v>283.0</v>
      </c>
      <c r="C302" s="89">
        <f t="shared" si="8"/>
        <v>1.04651E+16</v>
      </c>
      <c r="D302" s="89">
        <f t="shared" si="9"/>
        <v>1.16278E+15</v>
      </c>
      <c r="E302" s="59"/>
      <c r="F302" s="60" t="str">
        <f t="shared" si="1"/>
        <v>-</v>
      </c>
      <c r="G302" s="5" t="str">
        <f t="shared" si="2"/>
        <v>nops</v>
      </c>
      <c r="H302" s="94"/>
      <c r="I302" s="91" t="str">
        <f t="shared" si="10"/>
        <v/>
      </c>
      <c r="J302" s="91" t="str">
        <f t="shared" si="3"/>
        <v/>
      </c>
      <c r="K302" s="68" t="str">
        <f t="shared" si="11"/>
        <v/>
      </c>
      <c r="L302" s="64"/>
      <c r="M302" s="64"/>
      <c r="N302" s="64"/>
      <c r="O302" s="64"/>
      <c r="P302" s="4"/>
      <c r="Q302" s="4"/>
      <c r="R302" s="4"/>
      <c r="S302" s="4"/>
      <c r="T302" s="4"/>
      <c r="U302" s="4"/>
      <c r="V302" s="8">
        <f t="shared" si="12"/>
        <v>5.98679E+15</v>
      </c>
      <c r="W302" s="5" t="str">
        <f t="shared" si="7"/>
        <v>nops</v>
      </c>
      <c r="X302" s="67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</row>
    <row r="303" ht="19.5" customHeight="1">
      <c r="A303" s="56" t="s">
        <v>28</v>
      </c>
      <c r="B303" s="57">
        <v>284.0</v>
      </c>
      <c r="C303" s="89">
        <f t="shared" si="8"/>
        <v>1.17732E+16</v>
      </c>
      <c r="D303" s="89">
        <f t="shared" si="9"/>
        <v>1.30813E+15</v>
      </c>
      <c r="E303" s="59"/>
      <c r="F303" s="60" t="str">
        <f t="shared" si="1"/>
        <v>-</v>
      </c>
      <c r="G303" s="5" t="str">
        <f t="shared" si="2"/>
        <v>nops</v>
      </c>
      <c r="H303" s="94"/>
      <c r="I303" s="91" t="str">
        <f t="shared" si="10"/>
        <v/>
      </c>
      <c r="J303" s="91" t="str">
        <f t="shared" si="3"/>
        <v/>
      </c>
      <c r="K303" s="68" t="str">
        <f t="shared" si="11"/>
        <v/>
      </c>
      <c r="L303" s="64"/>
      <c r="M303" s="64"/>
      <c r="N303" s="64"/>
      <c r="O303" s="64"/>
      <c r="P303" s="4"/>
      <c r="Q303" s="4"/>
      <c r="R303" s="4"/>
      <c r="S303" s="4"/>
      <c r="T303" s="4"/>
      <c r="U303" s="4"/>
      <c r="V303" s="8">
        <f t="shared" si="12"/>
        <v>6.73514E+15</v>
      </c>
      <c r="W303" s="5" t="str">
        <f t="shared" si="7"/>
        <v>nops</v>
      </c>
      <c r="X303" s="67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</row>
    <row r="304" ht="19.5" customHeight="1">
      <c r="A304" s="56" t="s">
        <v>28</v>
      </c>
      <c r="B304" s="57">
        <v>285.0</v>
      </c>
      <c r="C304" s="89">
        <f t="shared" si="8"/>
        <v>1.32448E+16</v>
      </c>
      <c r="D304" s="89">
        <f t="shared" si="9"/>
        <v>1.47165E+15</v>
      </c>
      <c r="E304" s="59"/>
      <c r="F304" s="60" t="str">
        <f t="shared" si="1"/>
        <v>-</v>
      </c>
      <c r="G304" s="5" t="str">
        <f t="shared" si="2"/>
        <v>nops</v>
      </c>
      <c r="H304" s="94"/>
      <c r="I304" s="91" t="str">
        <f t="shared" si="10"/>
        <v/>
      </c>
      <c r="J304" s="91" t="str">
        <f t="shared" si="3"/>
        <v/>
      </c>
      <c r="K304" s="68" t="str">
        <f t="shared" si="11"/>
        <v/>
      </c>
      <c r="L304" s="64"/>
      <c r="M304" s="64"/>
      <c r="N304" s="64"/>
      <c r="O304" s="64"/>
      <c r="P304" s="4"/>
      <c r="Q304" s="4"/>
      <c r="R304" s="4"/>
      <c r="S304" s="4"/>
      <c r="T304" s="4"/>
      <c r="U304" s="4"/>
      <c r="V304" s="8">
        <f t="shared" si="12"/>
        <v>7.57703E+15</v>
      </c>
      <c r="W304" s="5" t="str">
        <f t="shared" si="7"/>
        <v>nops</v>
      </c>
      <c r="X304" s="67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</row>
    <row r="305" ht="19.5" customHeight="1">
      <c r="A305" s="56" t="s">
        <v>28</v>
      </c>
      <c r="B305" s="57">
        <v>286.0</v>
      </c>
      <c r="C305" s="89">
        <f t="shared" si="8"/>
        <v>1.49004E+16</v>
      </c>
      <c r="D305" s="89">
        <f t="shared" si="9"/>
        <v>1.65561E+15</v>
      </c>
      <c r="E305" s="59"/>
      <c r="F305" s="60" t="str">
        <f t="shared" si="1"/>
        <v>-</v>
      </c>
      <c r="G305" s="5" t="str">
        <f t="shared" si="2"/>
        <v>nops</v>
      </c>
      <c r="H305" s="94"/>
      <c r="I305" s="91" t="str">
        <f t="shared" si="10"/>
        <v/>
      </c>
      <c r="J305" s="91" t="str">
        <f t="shared" si="3"/>
        <v/>
      </c>
      <c r="K305" s="68" t="str">
        <f t="shared" si="11"/>
        <v/>
      </c>
      <c r="L305" s="64"/>
      <c r="M305" s="64"/>
      <c r="N305" s="64"/>
      <c r="O305" s="64"/>
      <c r="P305" s="4"/>
      <c r="Q305" s="4"/>
      <c r="R305" s="4"/>
      <c r="S305" s="4"/>
      <c r="T305" s="4"/>
      <c r="U305" s="4"/>
      <c r="V305" s="8">
        <f t="shared" si="12"/>
        <v>8.52416E+15</v>
      </c>
      <c r="W305" s="5" t="str">
        <f t="shared" si="7"/>
        <v>nops</v>
      </c>
      <c r="X305" s="67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</row>
    <row r="306" ht="19.5" customHeight="1">
      <c r="A306" s="56" t="s">
        <v>28</v>
      </c>
      <c r="B306" s="57">
        <v>287.0</v>
      </c>
      <c r="C306" s="89">
        <f t="shared" si="8"/>
        <v>1.6763E+16</v>
      </c>
      <c r="D306" s="89">
        <f t="shared" si="9"/>
        <v>1.86256E+15</v>
      </c>
      <c r="E306" s="59"/>
      <c r="F306" s="60" t="str">
        <f t="shared" si="1"/>
        <v>-</v>
      </c>
      <c r="G306" s="5" t="str">
        <f t="shared" si="2"/>
        <v>nops</v>
      </c>
      <c r="H306" s="94"/>
      <c r="I306" s="91" t="str">
        <f t="shared" si="10"/>
        <v/>
      </c>
      <c r="J306" s="91" t="str">
        <f t="shared" si="3"/>
        <v/>
      </c>
      <c r="K306" s="68" t="str">
        <f t="shared" si="11"/>
        <v/>
      </c>
      <c r="L306" s="64"/>
      <c r="M306" s="64"/>
      <c r="N306" s="64"/>
      <c r="O306" s="64"/>
      <c r="P306" s="4"/>
      <c r="Q306" s="4"/>
      <c r="R306" s="4"/>
      <c r="S306" s="4"/>
      <c r="T306" s="4"/>
      <c r="U306" s="4"/>
      <c r="V306" s="8">
        <f t="shared" si="12"/>
        <v>9.58968E+15</v>
      </c>
      <c r="W306" s="5" t="str">
        <f t="shared" si="7"/>
        <v>nops</v>
      </c>
      <c r="X306" s="67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</row>
    <row r="307" ht="19.5" customHeight="1">
      <c r="A307" s="56" t="s">
        <v>28</v>
      </c>
      <c r="B307" s="57">
        <v>288.0</v>
      </c>
      <c r="C307" s="89">
        <f t="shared" si="8"/>
        <v>1.88584E+16</v>
      </c>
      <c r="D307" s="89">
        <f t="shared" si="9"/>
        <v>2.09538E+15</v>
      </c>
      <c r="E307" s="59"/>
      <c r="F307" s="60" t="str">
        <f t="shared" si="1"/>
        <v>-</v>
      </c>
      <c r="G307" s="5" t="str">
        <f t="shared" si="2"/>
        <v>nops</v>
      </c>
      <c r="H307" s="94"/>
      <c r="I307" s="91" t="str">
        <f t="shared" si="10"/>
        <v/>
      </c>
      <c r="J307" s="91" t="str">
        <f t="shared" si="3"/>
        <v/>
      </c>
      <c r="K307" s="68" t="str">
        <f t="shared" si="11"/>
        <v/>
      </c>
      <c r="L307" s="64"/>
      <c r="M307" s="64"/>
      <c r="N307" s="64"/>
      <c r="O307" s="64"/>
      <c r="P307" s="4"/>
      <c r="Q307" s="4"/>
      <c r="R307" s="4"/>
      <c r="S307" s="4"/>
      <c r="T307" s="4"/>
      <c r="U307" s="4"/>
      <c r="V307" s="8">
        <f t="shared" si="12"/>
        <v>1.07884E+16</v>
      </c>
      <c r="W307" s="5" t="str">
        <f t="shared" si="7"/>
        <v>nops</v>
      </c>
      <c r="X307" s="67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</row>
    <row r="308" ht="19.5" customHeight="1">
      <c r="A308" s="56" t="s">
        <v>28</v>
      </c>
      <c r="B308" s="57">
        <v>289.0</v>
      </c>
      <c r="C308" s="89">
        <f t="shared" si="8"/>
        <v>2.12157E+16</v>
      </c>
      <c r="D308" s="89">
        <f t="shared" si="9"/>
        <v>2.3573E+15</v>
      </c>
      <c r="E308" s="59"/>
      <c r="F308" s="60" t="str">
        <f t="shared" si="1"/>
        <v>-</v>
      </c>
      <c r="G308" s="5" t="str">
        <f t="shared" si="2"/>
        <v>nops</v>
      </c>
      <c r="H308" s="94"/>
      <c r="I308" s="91" t="str">
        <f t="shared" si="10"/>
        <v/>
      </c>
      <c r="J308" s="91" t="str">
        <f t="shared" si="3"/>
        <v/>
      </c>
      <c r="K308" s="68" t="str">
        <f t="shared" si="11"/>
        <v/>
      </c>
      <c r="L308" s="64"/>
      <c r="M308" s="64"/>
      <c r="N308" s="64"/>
      <c r="O308" s="64"/>
      <c r="P308" s="4"/>
      <c r="Q308" s="4"/>
      <c r="R308" s="4"/>
      <c r="S308" s="4"/>
      <c r="T308" s="4"/>
      <c r="U308" s="4"/>
      <c r="V308" s="8">
        <f t="shared" si="12"/>
        <v>1.21369E+16</v>
      </c>
      <c r="W308" s="5" t="str">
        <f t="shared" si="7"/>
        <v>nops</v>
      </c>
      <c r="X308" s="67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</row>
    <row r="309" ht="19.5" customHeight="1">
      <c r="A309" s="56" t="s">
        <v>28</v>
      </c>
      <c r="B309" s="57">
        <v>290.0</v>
      </c>
      <c r="C309" s="89">
        <f t="shared" si="8"/>
        <v>2.38676E+16</v>
      </c>
      <c r="D309" s="89">
        <f t="shared" si="9"/>
        <v>2.65196E+15</v>
      </c>
      <c r="E309" s="59"/>
      <c r="F309" s="60" t="str">
        <f t="shared" si="1"/>
        <v>-</v>
      </c>
      <c r="G309" s="5" t="str">
        <f t="shared" si="2"/>
        <v>nops</v>
      </c>
      <c r="H309" s="94"/>
      <c r="I309" s="91" t="str">
        <f t="shared" si="10"/>
        <v/>
      </c>
      <c r="J309" s="91" t="str">
        <f t="shared" si="3"/>
        <v/>
      </c>
      <c r="K309" s="68" t="str">
        <f t="shared" si="11"/>
        <v/>
      </c>
      <c r="L309" s="64"/>
      <c r="M309" s="64"/>
      <c r="N309" s="64"/>
      <c r="O309" s="64"/>
      <c r="P309" s="4"/>
      <c r="Q309" s="4"/>
      <c r="R309" s="4"/>
      <c r="S309" s="4"/>
      <c r="T309" s="4"/>
      <c r="U309" s="4"/>
      <c r="V309" s="8">
        <f t="shared" si="12"/>
        <v>1.36541E+16</v>
      </c>
      <c r="W309" s="5" t="str">
        <f t="shared" si="7"/>
        <v>nops</v>
      </c>
      <c r="X309" s="67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</row>
    <row r="310" ht="19.5" customHeight="1">
      <c r="A310" s="56" t="s">
        <v>28</v>
      </c>
      <c r="B310" s="57">
        <v>291.0</v>
      </c>
      <c r="C310" s="89">
        <f t="shared" si="8"/>
        <v>2.68511E+16</v>
      </c>
      <c r="D310" s="89">
        <f t="shared" si="9"/>
        <v>2.98345E+15</v>
      </c>
      <c r="E310" s="59"/>
      <c r="F310" s="60" t="str">
        <f t="shared" si="1"/>
        <v>-</v>
      </c>
      <c r="G310" s="5" t="str">
        <f t="shared" si="2"/>
        <v>nops</v>
      </c>
      <c r="H310" s="94"/>
      <c r="I310" s="91" t="str">
        <f t="shared" si="10"/>
        <v/>
      </c>
      <c r="J310" s="91" t="str">
        <f t="shared" si="3"/>
        <v/>
      </c>
      <c r="K310" s="68" t="str">
        <f t="shared" si="11"/>
        <v/>
      </c>
      <c r="L310" s="64"/>
      <c r="M310" s="64"/>
      <c r="N310" s="64"/>
      <c r="O310" s="64"/>
      <c r="P310" s="4"/>
      <c r="Q310" s="4"/>
      <c r="R310" s="4"/>
      <c r="S310" s="4"/>
      <c r="T310" s="4"/>
      <c r="U310" s="4"/>
      <c r="V310" s="8">
        <f t="shared" si="12"/>
        <v>1.53608E+16</v>
      </c>
      <c r="W310" s="5" t="str">
        <f t="shared" si="7"/>
        <v>nops</v>
      </c>
      <c r="X310" s="67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</row>
    <row r="311" ht="19.5" customHeight="1">
      <c r="A311" s="56" t="s">
        <v>28</v>
      </c>
      <c r="B311" s="57">
        <v>292.0</v>
      </c>
      <c r="C311" s="89">
        <f t="shared" si="8"/>
        <v>3.02075E+16</v>
      </c>
      <c r="D311" s="89">
        <f t="shared" si="9"/>
        <v>3.35639E+15</v>
      </c>
      <c r="E311" s="59"/>
      <c r="F311" s="60" t="str">
        <f t="shared" si="1"/>
        <v>-</v>
      </c>
      <c r="G311" s="5" t="str">
        <f t="shared" si="2"/>
        <v>nops</v>
      </c>
      <c r="H311" s="94"/>
      <c r="I311" s="91" t="str">
        <f t="shared" si="10"/>
        <v/>
      </c>
      <c r="J311" s="91" t="str">
        <f t="shared" si="3"/>
        <v/>
      </c>
      <c r="K311" s="68" t="str">
        <f t="shared" si="11"/>
        <v/>
      </c>
      <c r="L311" s="64"/>
      <c r="M311" s="64"/>
      <c r="N311" s="64"/>
      <c r="O311" s="64"/>
      <c r="P311" s="4"/>
      <c r="Q311" s="4"/>
      <c r="R311" s="4"/>
      <c r="S311" s="4"/>
      <c r="T311" s="4"/>
      <c r="U311" s="4"/>
      <c r="V311" s="8">
        <f t="shared" si="12"/>
        <v>1.72809E+16</v>
      </c>
      <c r="W311" s="5" t="str">
        <f t="shared" si="7"/>
        <v>nops</v>
      </c>
      <c r="X311" s="67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</row>
    <row r="312" ht="19.5" customHeight="1">
      <c r="A312" s="56" t="s">
        <v>28</v>
      </c>
      <c r="B312" s="57">
        <v>293.0</v>
      </c>
      <c r="C312" s="89">
        <f t="shared" si="8"/>
        <v>3.39834E+16</v>
      </c>
      <c r="D312" s="89">
        <f t="shared" si="9"/>
        <v>3.77593E+15</v>
      </c>
      <c r="E312" s="59"/>
      <c r="F312" s="60" t="str">
        <f t="shared" si="1"/>
        <v>-</v>
      </c>
      <c r="G312" s="5" t="str">
        <f t="shared" si="2"/>
        <v>nops</v>
      </c>
      <c r="H312" s="94"/>
      <c r="I312" s="91" t="str">
        <f t="shared" si="10"/>
        <v/>
      </c>
      <c r="J312" s="91" t="str">
        <f t="shared" si="3"/>
        <v/>
      </c>
      <c r="K312" s="68" t="str">
        <f t="shared" si="11"/>
        <v/>
      </c>
      <c r="L312" s="64"/>
      <c r="M312" s="64"/>
      <c r="N312" s="64"/>
      <c r="O312" s="64"/>
      <c r="P312" s="4"/>
      <c r="Q312" s="4"/>
      <c r="R312" s="4"/>
      <c r="S312" s="4"/>
      <c r="T312" s="4"/>
      <c r="U312" s="4"/>
      <c r="V312" s="8">
        <f t="shared" si="12"/>
        <v>1.9441E+16</v>
      </c>
      <c r="W312" s="5" t="str">
        <f t="shared" si="7"/>
        <v>nops</v>
      </c>
      <c r="X312" s="67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</row>
    <row r="313" ht="19.5" customHeight="1">
      <c r="A313" s="56" t="s">
        <v>28</v>
      </c>
      <c r="B313" s="57">
        <v>294.0</v>
      </c>
      <c r="C313" s="89">
        <f t="shared" si="8"/>
        <v>3.82313E+16</v>
      </c>
      <c r="D313" s="89">
        <f t="shared" si="9"/>
        <v>4.24793E+15</v>
      </c>
      <c r="E313" s="59"/>
      <c r="F313" s="60" t="str">
        <f t="shared" si="1"/>
        <v>-</v>
      </c>
      <c r="G313" s="5" t="str">
        <f t="shared" si="2"/>
        <v>nops</v>
      </c>
      <c r="H313" s="94"/>
      <c r="I313" s="91" t="str">
        <f t="shared" si="10"/>
        <v/>
      </c>
      <c r="J313" s="91" t="str">
        <f t="shared" si="3"/>
        <v/>
      </c>
      <c r="K313" s="68" t="str">
        <f t="shared" si="11"/>
        <v/>
      </c>
      <c r="L313" s="64"/>
      <c r="M313" s="64"/>
      <c r="N313" s="64"/>
      <c r="O313" s="64"/>
      <c r="P313" s="4"/>
      <c r="Q313" s="4"/>
      <c r="R313" s="4"/>
      <c r="S313" s="4"/>
      <c r="T313" s="4"/>
      <c r="U313" s="4"/>
      <c r="V313" s="8">
        <f t="shared" si="12"/>
        <v>2.18711E+16</v>
      </c>
      <c r="W313" s="5" t="str">
        <f t="shared" si="7"/>
        <v>nops</v>
      </c>
      <c r="X313" s="67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</row>
    <row r="314" ht="19.5" customHeight="1">
      <c r="A314" s="56" t="s">
        <v>28</v>
      </c>
      <c r="B314" s="57">
        <v>295.0</v>
      </c>
      <c r="C314" s="89">
        <f t="shared" si="8"/>
        <v>4.30103E+16</v>
      </c>
      <c r="D314" s="89">
        <f t="shared" si="9"/>
        <v>4.77892E+15</v>
      </c>
      <c r="E314" s="59"/>
      <c r="F314" s="60" t="str">
        <f t="shared" si="1"/>
        <v>-</v>
      </c>
      <c r="G314" s="5" t="str">
        <f t="shared" si="2"/>
        <v>nops</v>
      </c>
      <c r="H314" s="94"/>
      <c r="I314" s="91" t="str">
        <f t="shared" si="10"/>
        <v/>
      </c>
      <c r="J314" s="91" t="str">
        <f t="shared" si="3"/>
        <v/>
      </c>
      <c r="K314" s="68" t="str">
        <f t="shared" si="11"/>
        <v/>
      </c>
      <c r="L314" s="64"/>
      <c r="M314" s="64"/>
      <c r="N314" s="64"/>
      <c r="O314" s="64"/>
      <c r="P314" s="4"/>
      <c r="Q314" s="4"/>
      <c r="R314" s="4"/>
      <c r="S314" s="4"/>
      <c r="T314" s="4"/>
      <c r="U314" s="4"/>
      <c r="V314" s="8">
        <f t="shared" si="12"/>
        <v>2.4605E+16</v>
      </c>
      <c r="W314" s="5" t="str">
        <f t="shared" si="7"/>
        <v>nops</v>
      </c>
      <c r="X314" s="67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</row>
    <row r="315" ht="19.5" customHeight="1">
      <c r="A315" s="56" t="s">
        <v>28</v>
      </c>
      <c r="B315" s="57">
        <v>296.0</v>
      </c>
      <c r="C315" s="89">
        <f t="shared" si="8"/>
        <v>4.83865E+16</v>
      </c>
      <c r="D315" s="89">
        <f t="shared" si="9"/>
        <v>5.37628E+15</v>
      </c>
      <c r="E315" s="59"/>
      <c r="F315" s="60" t="str">
        <f t="shared" si="1"/>
        <v>-</v>
      </c>
      <c r="G315" s="5" t="str">
        <f t="shared" si="2"/>
        <v>nops</v>
      </c>
      <c r="H315" s="94"/>
      <c r="I315" s="91" t="str">
        <f t="shared" si="10"/>
        <v/>
      </c>
      <c r="J315" s="91" t="str">
        <f t="shared" si="3"/>
        <v/>
      </c>
      <c r="K315" s="68" t="str">
        <f t="shared" si="11"/>
        <v/>
      </c>
      <c r="L315" s="64"/>
      <c r="M315" s="64"/>
      <c r="N315" s="64"/>
      <c r="O315" s="64"/>
      <c r="P315" s="4"/>
      <c r="Q315" s="4"/>
      <c r="R315" s="4"/>
      <c r="S315" s="4"/>
      <c r="T315" s="4"/>
      <c r="U315" s="4"/>
      <c r="V315" s="8">
        <f t="shared" si="12"/>
        <v>2.76807E+16</v>
      </c>
      <c r="W315" s="5" t="str">
        <f t="shared" si="7"/>
        <v>nops</v>
      </c>
      <c r="X315" s="67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</row>
    <row r="316" ht="19.5" customHeight="1">
      <c r="A316" s="56" t="s">
        <v>28</v>
      </c>
      <c r="B316" s="57">
        <v>297.0</v>
      </c>
      <c r="C316" s="89">
        <f t="shared" si="8"/>
        <v>5.44349E+16</v>
      </c>
      <c r="D316" s="89">
        <f t="shared" si="9"/>
        <v>6.04832E+15</v>
      </c>
      <c r="E316" s="59"/>
      <c r="F316" s="60" t="str">
        <f t="shared" si="1"/>
        <v>-</v>
      </c>
      <c r="G316" s="5" t="str">
        <f t="shared" si="2"/>
        <v>nops</v>
      </c>
      <c r="H316" s="94"/>
      <c r="I316" s="91" t="str">
        <f t="shared" si="10"/>
        <v/>
      </c>
      <c r="J316" s="91" t="str">
        <f t="shared" si="3"/>
        <v/>
      </c>
      <c r="K316" s="68" t="str">
        <f t="shared" si="11"/>
        <v/>
      </c>
      <c r="L316" s="64"/>
      <c r="M316" s="64"/>
      <c r="N316" s="64"/>
      <c r="O316" s="64"/>
      <c r="P316" s="4"/>
      <c r="Q316" s="4"/>
      <c r="R316" s="4"/>
      <c r="S316" s="4"/>
      <c r="T316" s="4"/>
      <c r="U316" s="4"/>
      <c r="V316" s="8">
        <f t="shared" si="12"/>
        <v>3.11408E+16</v>
      </c>
      <c r="W316" s="5" t="str">
        <f t="shared" si="7"/>
        <v>nops</v>
      </c>
      <c r="X316" s="67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</row>
    <row r="317" ht="19.5" customHeight="1">
      <c r="A317" s="56" t="s">
        <v>28</v>
      </c>
      <c r="B317" s="57">
        <v>298.0</v>
      </c>
      <c r="C317" s="89">
        <f t="shared" si="8"/>
        <v>6.12392E+16</v>
      </c>
      <c r="D317" s="89">
        <f t="shared" si="9"/>
        <v>6.80436E+15</v>
      </c>
      <c r="E317" s="59"/>
      <c r="F317" s="60" t="str">
        <f t="shared" si="1"/>
        <v>-</v>
      </c>
      <c r="G317" s="5" t="str">
        <f t="shared" si="2"/>
        <v>nops</v>
      </c>
      <c r="H317" s="94"/>
      <c r="I317" s="91" t="str">
        <f t="shared" si="10"/>
        <v/>
      </c>
      <c r="J317" s="91" t="str">
        <f t="shared" si="3"/>
        <v/>
      </c>
      <c r="K317" s="68" t="str">
        <f t="shared" si="11"/>
        <v/>
      </c>
      <c r="L317" s="64"/>
      <c r="M317" s="64"/>
      <c r="N317" s="64"/>
      <c r="O317" s="64"/>
      <c r="P317" s="4"/>
      <c r="Q317" s="4"/>
      <c r="R317" s="4"/>
      <c r="S317" s="4"/>
      <c r="T317" s="4"/>
      <c r="U317" s="4"/>
      <c r="V317" s="8">
        <f t="shared" si="12"/>
        <v>3.50334E+16</v>
      </c>
      <c r="W317" s="5" t="str">
        <f t="shared" si="7"/>
        <v>nops</v>
      </c>
      <c r="X317" s="67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</row>
    <row r="318" ht="19.5" customHeight="1">
      <c r="A318" s="56" t="s">
        <v>28</v>
      </c>
      <c r="B318" s="57">
        <v>299.0</v>
      </c>
      <c r="C318" s="89">
        <f t="shared" si="8"/>
        <v>6.88941E+16</v>
      </c>
      <c r="D318" s="89">
        <f t="shared" si="9"/>
        <v>7.6549E+15</v>
      </c>
      <c r="E318" s="59"/>
      <c r="F318" s="60" t="str">
        <f t="shared" si="1"/>
        <v>-</v>
      </c>
      <c r="G318" s="5" t="str">
        <f t="shared" si="2"/>
        <v>nops</v>
      </c>
      <c r="H318" s="94"/>
      <c r="I318" s="91" t="str">
        <f t="shared" si="10"/>
        <v/>
      </c>
      <c r="J318" s="91" t="str">
        <f t="shared" si="3"/>
        <v/>
      </c>
      <c r="K318" s="68" t="str">
        <f t="shared" si="11"/>
        <v/>
      </c>
      <c r="L318" s="64"/>
      <c r="M318" s="64"/>
      <c r="N318" s="64"/>
      <c r="O318" s="64"/>
      <c r="P318" s="4"/>
      <c r="Q318" s="4"/>
      <c r="R318" s="4"/>
      <c r="S318" s="4"/>
      <c r="T318" s="4"/>
      <c r="U318" s="4"/>
      <c r="V318" s="8">
        <f t="shared" si="12"/>
        <v>3.94125E+16</v>
      </c>
      <c r="W318" s="5" t="str">
        <f t="shared" si="7"/>
        <v>nops</v>
      </c>
      <c r="X318" s="67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</row>
    <row r="319" ht="19.5" customHeight="1">
      <c r="A319" s="56" t="s">
        <v>28</v>
      </c>
      <c r="B319" s="57">
        <v>300.0</v>
      </c>
      <c r="C319" s="89">
        <f t="shared" si="8"/>
        <v>7.75059E+16</v>
      </c>
      <c r="D319" s="89">
        <f t="shared" si="9"/>
        <v>8.61176E+15</v>
      </c>
      <c r="E319" s="59"/>
      <c r="F319" s="60" t="str">
        <f t="shared" si="1"/>
        <v>-</v>
      </c>
      <c r="G319" s="5" t="str">
        <f t="shared" si="2"/>
        <v>nops</v>
      </c>
      <c r="H319" s="94"/>
      <c r="I319" s="91" t="str">
        <f t="shared" si="10"/>
        <v/>
      </c>
      <c r="J319" s="91" t="str">
        <f t="shared" si="3"/>
        <v/>
      </c>
      <c r="K319" s="68" t="str">
        <f t="shared" si="11"/>
        <v/>
      </c>
      <c r="L319" s="64"/>
      <c r="M319" s="64"/>
      <c r="N319" s="64"/>
      <c r="O319" s="64"/>
      <c r="P319" s="4"/>
      <c r="Q319" s="4"/>
      <c r="R319" s="4"/>
      <c r="S319" s="4"/>
      <c r="T319" s="4"/>
      <c r="U319" s="4"/>
      <c r="V319" s="8">
        <f t="shared" si="12"/>
        <v>4.43391E+16</v>
      </c>
      <c r="W319" s="5" t="str">
        <f t="shared" si="7"/>
        <v>nops</v>
      </c>
      <c r="X319" s="67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</row>
    <row r="320" ht="19.5" customHeight="1">
      <c r="A320" s="56" t="s">
        <v>28</v>
      </c>
      <c r="B320" s="57">
        <v>301.0</v>
      </c>
      <c r="C320" s="89">
        <f t="shared" si="8"/>
        <v>8.71941E+16</v>
      </c>
      <c r="D320" s="89">
        <f t="shared" si="9"/>
        <v>9.68824E+15</v>
      </c>
      <c r="E320" s="59"/>
      <c r="F320" s="60" t="str">
        <f t="shared" si="1"/>
        <v>-</v>
      </c>
      <c r="G320" s="5" t="str">
        <f t="shared" si="2"/>
        <v>nops</v>
      </c>
      <c r="H320" s="94"/>
      <c r="I320" s="91" t="str">
        <f t="shared" si="10"/>
        <v/>
      </c>
      <c r="J320" s="91" t="str">
        <f t="shared" si="3"/>
        <v/>
      </c>
      <c r="K320" s="68" t="str">
        <f t="shared" si="11"/>
        <v/>
      </c>
      <c r="L320" s="64"/>
      <c r="M320" s="64"/>
      <c r="N320" s="64"/>
      <c r="O320" s="64"/>
      <c r="P320" s="4"/>
      <c r="Q320" s="4"/>
      <c r="R320" s="4"/>
      <c r="S320" s="4"/>
      <c r="T320" s="4"/>
      <c r="U320" s="4"/>
      <c r="V320" s="8">
        <f t="shared" si="12"/>
        <v>4.98815E+16</v>
      </c>
      <c r="W320" s="5" t="str">
        <f t="shared" si="7"/>
        <v>nops</v>
      </c>
      <c r="X320" s="67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</row>
    <row r="321" ht="19.5" customHeight="1">
      <c r="A321" s="56" t="s">
        <v>28</v>
      </c>
      <c r="B321" s="57">
        <v>302.0</v>
      </c>
      <c r="C321" s="89">
        <f t="shared" si="8"/>
        <v>9.80934E+16</v>
      </c>
      <c r="D321" s="89">
        <f t="shared" si="9"/>
        <v>1.08993E+16</v>
      </c>
      <c r="E321" s="59"/>
      <c r="F321" s="60" t="str">
        <f t="shared" si="1"/>
        <v>-</v>
      </c>
      <c r="G321" s="5" t="str">
        <f t="shared" si="2"/>
        <v>nops</v>
      </c>
      <c r="H321" s="94"/>
      <c r="I321" s="91" t="str">
        <f t="shared" si="10"/>
        <v/>
      </c>
      <c r="J321" s="91" t="str">
        <f t="shared" si="3"/>
        <v/>
      </c>
      <c r="K321" s="68" t="str">
        <f t="shared" si="11"/>
        <v/>
      </c>
      <c r="L321" s="64"/>
      <c r="M321" s="64"/>
      <c r="N321" s="64"/>
      <c r="O321" s="64"/>
      <c r="P321" s="4"/>
      <c r="Q321" s="4"/>
      <c r="R321" s="4"/>
      <c r="S321" s="4"/>
      <c r="T321" s="4"/>
      <c r="U321" s="4"/>
      <c r="V321" s="8">
        <f t="shared" si="12"/>
        <v>5.61167E+16</v>
      </c>
      <c r="W321" s="5" t="str">
        <f t="shared" si="7"/>
        <v>nops</v>
      </c>
      <c r="X321" s="67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</row>
    <row r="322" ht="19.5" customHeight="1">
      <c r="A322" s="56" t="s">
        <v>28</v>
      </c>
      <c r="B322" s="57">
        <v>303.0</v>
      </c>
      <c r="C322" s="89">
        <f t="shared" si="8"/>
        <v>1.10355E+17</v>
      </c>
      <c r="D322" s="89">
        <f t="shared" si="9"/>
        <v>1.22617E+16</v>
      </c>
      <c r="E322" s="59"/>
      <c r="F322" s="60" t="str">
        <f t="shared" si="1"/>
        <v>-</v>
      </c>
      <c r="G322" s="5" t="str">
        <f t="shared" si="2"/>
        <v>nops</v>
      </c>
      <c r="H322" s="94"/>
      <c r="I322" s="91" t="str">
        <f t="shared" si="10"/>
        <v/>
      </c>
      <c r="J322" s="91" t="str">
        <f t="shared" si="3"/>
        <v/>
      </c>
      <c r="K322" s="68" t="str">
        <f t="shared" si="11"/>
        <v/>
      </c>
      <c r="L322" s="64"/>
      <c r="M322" s="64"/>
      <c r="N322" s="64"/>
      <c r="O322" s="64"/>
      <c r="P322" s="4"/>
      <c r="Q322" s="4"/>
      <c r="R322" s="4"/>
      <c r="S322" s="4"/>
      <c r="T322" s="4"/>
      <c r="U322" s="4"/>
      <c r="V322" s="8">
        <f t="shared" si="12"/>
        <v>6.31312E+16</v>
      </c>
      <c r="W322" s="5" t="str">
        <f t="shared" si="7"/>
        <v>nops</v>
      </c>
      <c r="X322" s="67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</row>
    <row r="323" ht="19.5" customHeight="1">
      <c r="A323" s="56" t="s">
        <v>28</v>
      </c>
      <c r="B323" s="57">
        <v>304.0</v>
      </c>
      <c r="C323" s="89">
        <f t="shared" si="8"/>
        <v>1.24149E+17</v>
      </c>
      <c r="D323" s="89">
        <f t="shared" si="9"/>
        <v>1.37944E+16</v>
      </c>
      <c r="E323" s="59"/>
      <c r="F323" s="60" t="str">
        <f t="shared" si="1"/>
        <v>-</v>
      </c>
      <c r="G323" s="5" t="str">
        <f t="shared" si="2"/>
        <v>nops</v>
      </c>
      <c r="H323" s="94"/>
      <c r="I323" s="91" t="str">
        <f t="shared" si="10"/>
        <v/>
      </c>
      <c r="J323" s="91" t="str">
        <f t="shared" si="3"/>
        <v/>
      </c>
      <c r="K323" s="68" t="str">
        <f t="shared" si="11"/>
        <v/>
      </c>
      <c r="L323" s="64"/>
      <c r="M323" s="64"/>
      <c r="N323" s="64"/>
      <c r="O323" s="64"/>
      <c r="P323" s="4"/>
      <c r="Q323" s="4"/>
      <c r="R323" s="4"/>
      <c r="S323" s="4"/>
      <c r="T323" s="4"/>
      <c r="U323" s="4"/>
      <c r="V323" s="8">
        <f t="shared" si="12"/>
        <v>7.10226E+16</v>
      </c>
      <c r="W323" s="5" t="str">
        <f t="shared" si="7"/>
        <v>nops</v>
      </c>
      <c r="X323" s="67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</row>
    <row r="324" ht="19.5" customHeight="1">
      <c r="A324" s="56" t="s">
        <v>28</v>
      </c>
      <c r="B324" s="57">
        <v>305.0</v>
      </c>
      <c r="C324" s="89">
        <f t="shared" si="8"/>
        <v>1.39668E+17</v>
      </c>
      <c r="D324" s="89">
        <f t="shared" si="9"/>
        <v>1.55187E+16</v>
      </c>
      <c r="E324" s="59"/>
      <c r="F324" s="60" t="str">
        <f t="shared" si="1"/>
        <v>-</v>
      </c>
      <c r="G324" s="5" t="str">
        <f t="shared" si="2"/>
        <v>nops</v>
      </c>
      <c r="H324" s="94"/>
      <c r="I324" s="91" t="str">
        <f t="shared" si="10"/>
        <v/>
      </c>
      <c r="J324" s="91" t="str">
        <f t="shared" si="3"/>
        <v/>
      </c>
      <c r="K324" s="68" t="str">
        <f t="shared" si="11"/>
        <v/>
      </c>
      <c r="L324" s="64"/>
      <c r="M324" s="64"/>
      <c r="N324" s="64"/>
      <c r="O324" s="64"/>
      <c r="P324" s="4"/>
      <c r="Q324" s="4"/>
      <c r="R324" s="4"/>
      <c r="S324" s="4"/>
      <c r="T324" s="4"/>
      <c r="U324" s="4"/>
      <c r="V324" s="8">
        <f t="shared" si="12"/>
        <v>7.99005E+16</v>
      </c>
      <c r="W324" s="5" t="str">
        <f t="shared" si="7"/>
        <v>nops</v>
      </c>
      <c r="X324" s="67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</row>
    <row r="325" ht="19.5" customHeight="1">
      <c r="A325" s="56" t="s">
        <v>28</v>
      </c>
      <c r="B325" s="57">
        <v>306.0</v>
      </c>
      <c r="C325" s="89">
        <f t="shared" si="8"/>
        <v>1.57127E+17</v>
      </c>
      <c r="D325" s="89">
        <f t="shared" si="9"/>
        <v>1.74585E+16</v>
      </c>
      <c r="E325" s="59"/>
      <c r="F325" s="60" t="str">
        <f t="shared" si="1"/>
        <v>-</v>
      </c>
      <c r="G325" s="5" t="str">
        <f t="shared" si="2"/>
        <v>nops</v>
      </c>
      <c r="H325" s="94"/>
      <c r="I325" s="91" t="str">
        <f t="shared" si="10"/>
        <v/>
      </c>
      <c r="J325" s="91" t="str">
        <f t="shared" si="3"/>
        <v/>
      </c>
      <c r="K325" s="68" t="str">
        <f t="shared" si="11"/>
        <v/>
      </c>
      <c r="L325" s="64"/>
      <c r="M325" s="64"/>
      <c r="N325" s="64"/>
      <c r="O325" s="64"/>
      <c r="P325" s="4"/>
      <c r="Q325" s="4"/>
      <c r="R325" s="4"/>
      <c r="S325" s="4"/>
      <c r="T325" s="4"/>
      <c r="U325" s="4"/>
      <c r="V325" s="8">
        <f t="shared" si="12"/>
        <v>8.9888E+16</v>
      </c>
      <c r="W325" s="5" t="str">
        <f t="shared" si="7"/>
        <v>nops</v>
      </c>
      <c r="X325" s="67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</row>
    <row r="326" ht="19.5" customHeight="1">
      <c r="A326" s="56" t="s">
        <v>28</v>
      </c>
      <c r="B326" s="57">
        <v>307.0</v>
      </c>
      <c r="C326" s="89">
        <f t="shared" si="8"/>
        <v>1.76767E+17</v>
      </c>
      <c r="D326" s="89">
        <f t="shared" si="9"/>
        <v>1.96408E+16</v>
      </c>
      <c r="E326" s="59"/>
      <c r="F326" s="60" t="str">
        <f t="shared" si="1"/>
        <v>-</v>
      </c>
      <c r="G326" s="5" t="str">
        <f t="shared" si="2"/>
        <v>nops</v>
      </c>
      <c r="H326" s="94"/>
      <c r="I326" s="91" t="str">
        <f t="shared" si="10"/>
        <v/>
      </c>
      <c r="J326" s="91" t="str">
        <f t="shared" si="3"/>
        <v/>
      </c>
      <c r="K326" s="68" t="str">
        <f t="shared" si="11"/>
        <v/>
      </c>
      <c r="L326" s="64"/>
      <c r="M326" s="64"/>
      <c r="N326" s="64"/>
      <c r="O326" s="64"/>
      <c r="P326" s="4"/>
      <c r="Q326" s="4"/>
      <c r="R326" s="4"/>
      <c r="S326" s="4"/>
      <c r="T326" s="4"/>
      <c r="U326" s="4"/>
      <c r="V326" s="8">
        <f t="shared" si="12"/>
        <v>1.01124E+17</v>
      </c>
      <c r="W326" s="5" t="str">
        <f t="shared" si="7"/>
        <v>nops</v>
      </c>
      <c r="X326" s="67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</row>
    <row r="327" ht="19.5" customHeight="1">
      <c r="A327" s="56" t="s">
        <v>28</v>
      </c>
      <c r="B327" s="57">
        <v>308.0</v>
      </c>
      <c r="C327" s="89">
        <f t="shared" si="8"/>
        <v>1.98863E+17</v>
      </c>
      <c r="D327" s="89">
        <f t="shared" si="9"/>
        <v>2.20959E+16</v>
      </c>
      <c r="E327" s="59"/>
      <c r="F327" s="60" t="str">
        <f t="shared" si="1"/>
        <v>-</v>
      </c>
      <c r="G327" s="5" t="str">
        <f t="shared" si="2"/>
        <v>nops</v>
      </c>
      <c r="H327" s="94"/>
      <c r="I327" s="91" t="str">
        <f t="shared" si="10"/>
        <v/>
      </c>
      <c r="J327" s="91" t="str">
        <f t="shared" si="3"/>
        <v/>
      </c>
      <c r="K327" s="68" t="str">
        <f t="shared" si="11"/>
        <v/>
      </c>
      <c r="L327" s="64"/>
      <c r="M327" s="64"/>
      <c r="N327" s="64"/>
      <c r="O327" s="64"/>
      <c r="P327" s="4"/>
      <c r="Q327" s="4"/>
      <c r="R327" s="4"/>
      <c r="S327" s="4"/>
      <c r="T327" s="4"/>
      <c r="U327" s="4"/>
      <c r="V327" s="8">
        <f t="shared" si="12"/>
        <v>1.13765E+17</v>
      </c>
      <c r="W327" s="5" t="str">
        <f t="shared" si="7"/>
        <v>nops</v>
      </c>
      <c r="X327" s="67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</row>
    <row r="328" ht="19.5" customHeight="1">
      <c r="A328" s="56" t="s">
        <v>28</v>
      </c>
      <c r="B328" s="57">
        <v>309.0</v>
      </c>
      <c r="C328" s="89">
        <f t="shared" si="8"/>
        <v>2.23721E+17</v>
      </c>
      <c r="D328" s="89">
        <f t="shared" si="9"/>
        <v>2.48579E+16</v>
      </c>
      <c r="E328" s="59"/>
      <c r="F328" s="60" t="str">
        <f t="shared" si="1"/>
        <v>-</v>
      </c>
      <c r="G328" s="5" t="str">
        <f t="shared" si="2"/>
        <v>nops</v>
      </c>
      <c r="H328" s="94"/>
      <c r="I328" s="91" t="str">
        <f t="shared" si="10"/>
        <v/>
      </c>
      <c r="J328" s="91" t="str">
        <f t="shared" si="3"/>
        <v/>
      </c>
      <c r="K328" s="68" t="str">
        <f t="shared" si="11"/>
        <v/>
      </c>
      <c r="L328" s="64"/>
      <c r="M328" s="64"/>
      <c r="N328" s="64"/>
      <c r="O328" s="64"/>
      <c r="P328" s="4"/>
      <c r="Q328" s="4"/>
      <c r="R328" s="4"/>
      <c r="S328" s="4"/>
      <c r="T328" s="4"/>
      <c r="U328" s="4"/>
      <c r="V328" s="8">
        <f t="shared" si="12"/>
        <v>1.27985E+17</v>
      </c>
      <c r="W328" s="5" t="str">
        <f t="shared" si="7"/>
        <v>nops</v>
      </c>
      <c r="X328" s="67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</row>
    <row r="329" ht="19.5" customHeight="1">
      <c r="A329" s="56" t="s">
        <v>28</v>
      </c>
      <c r="B329" s="57">
        <v>310.0</v>
      </c>
      <c r="C329" s="89">
        <f t="shared" si="8"/>
        <v>2.51686E+17</v>
      </c>
      <c r="D329" s="89">
        <f t="shared" si="9"/>
        <v>2.79652E+16</v>
      </c>
      <c r="E329" s="59"/>
      <c r="F329" s="60" t="str">
        <f t="shared" si="1"/>
        <v>-</v>
      </c>
      <c r="G329" s="5" t="str">
        <f t="shared" si="2"/>
        <v>nops</v>
      </c>
      <c r="H329" s="94"/>
      <c r="I329" s="91" t="str">
        <f t="shared" si="10"/>
        <v/>
      </c>
      <c r="J329" s="91" t="str">
        <f t="shared" si="3"/>
        <v/>
      </c>
      <c r="K329" s="68" t="str">
        <f t="shared" si="11"/>
        <v/>
      </c>
      <c r="L329" s="64"/>
      <c r="M329" s="64"/>
      <c r="N329" s="64"/>
      <c r="O329" s="64"/>
      <c r="P329" s="4"/>
      <c r="Q329" s="4"/>
      <c r="R329" s="4"/>
      <c r="S329" s="4"/>
      <c r="T329" s="4"/>
      <c r="U329" s="4"/>
      <c r="V329" s="8">
        <f t="shared" si="12"/>
        <v>1.43983E+17</v>
      </c>
      <c r="W329" s="5" t="str">
        <f t="shared" si="7"/>
        <v>nops</v>
      </c>
      <c r="X329" s="67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</row>
    <row r="330" ht="19.5" customHeight="1">
      <c r="A330" s="56" t="s">
        <v>28</v>
      </c>
      <c r="B330" s="57">
        <v>311.0</v>
      </c>
      <c r="C330" s="89">
        <f t="shared" si="8"/>
        <v>2.83147E+17</v>
      </c>
      <c r="D330" s="89">
        <f t="shared" si="9"/>
        <v>3.14608E+16</v>
      </c>
      <c r="E330" s="59"/>
      <c r="F330" s="60" t="str">
        <f t="shared" si="1"/>
        <v>-</v>
      </c>
      <c r="G330" s="5" t="str">
        <f t="shared" si="2"/>
        <v>nops</v>
      </c>
      <c r="H330" s="94"/>
      <c r="I330" s="91" t="str">
        <f t="shared" si="10"/>
        <v/>
      </c>
      <c r="J330" s="91" t="str">
        <f t="shared" si="3"/>
        <v/>
      </c>
      <c r="K330" s="68" t="str">
        <f t="shared" si="11"/>
        <v/>
      </c>
      <c r="L330" s="64"/>
      <c r="M330" s="64"/>
      <c r="N330" s="64"/>
      <c r="O330" s="64"/>
      <c r="P330" s="4"/>
      <c r="Q330" s="4"/>
      <c r="R330" s="4"/>
      <c r="S330" s="4"/>
      <c r="T330" s="4"/>
      <c r="U330" s="4"/>
      <c r="V330" s="8">
        <f t="shared" si="12"/>
        <v>1.61981E+17</v>
      </c>
      <c r="W330" s="5" t="str">
        <f t="shared" si="7"/>
        <v>nops</v>
      </c>
      <c r="X330" s="67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</row>
    <row r="331" ht="19.5" customHeight="1">
      <c r="A331" s="56" t="s">
        <v>28</v>
      </c>
      <c r="B331" s="57">
        <v>312.0</v>
      </c>
      <c r="C331" s="89">
        <f t="shared" si="8"/>
        <v>3.18541E+17</v>
      </c>
      <c r="D331" s="89">
        <f t="shared" si="9"/>
        <v>3.53934E+16</v>
      </c>
      <c r="E331" s="59"/>
      <c r="F331" s="60" t="str">
        <f t="shared" si="1"/>
        <v>-</v>
      </c>
      <c r="G331" s="5" t="str">
        <f t="shared" si="2"/>
        <v>nops</v>
      </c>
      <c r="H331" s="94"/>
      <c r="I331" s="91" t="str">
        <f t="shared" si="10"/>
        <v/>
      </c>
      <c r="J331" s="91" t="str">
        <f t="shared" si="3"/>
        <v/>
      </c>
      <c r="K331" s="68" t="str">
        <f t="shared" si="11"/>
        <v/>
      </c>
      <c r="L331" s="64"/>
      <c r="M331" s="64"/>
      <c r="N331" s="64"/>
      <c r="O331" s="64"/>
      <c r="P331" s="4"/>
      <c r="Q331" s="4"/>
      <c r="R331" s="4"/>
      <c r="S331" s="4"/>
      <c r="T331" s="4"/>
      <c r="U331" s="4"/>
      <c r="V331" s="8">
        <f t="shared" si="12"/>
        <v>1.82229E+17</v>
      </c>
      <c r="W331" s="5" t="str">
        <f t="shared" si="7"/>
        <v>nops</v>
      </c>
      <c r="X331" s="67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</row>
    <row r="332" ht="19.5" customHeight="1">
      <c r="A332" s="56" t="s">
        <v>28</v>
      </c>
      <c r="B332" s="57">
        <v>313.0</v>
      </c>
      <c r="C332" s="89">
        <f t="shared" si="8"/>
        <v>3.58358E+17</v>
      </c>
      <c r="D332" s="89">
        <f t="shared" si="9"/>
        <v>3.98176E+16</v>
      </c>
      <c r="E332" s="59"/>
      <c r="F332" s="60" t="str">
        <f t="shared" si="1"/>
        <v>-</v>
      </c>
      <c r="G332" s="5" t="str">
        <f t="shared" si="2"/>
        <v>nops</v>
      </c>
      <c r="H332" s="94"/>
      <c r="I332" s="91" t="str">
        <f t="shared" si="10"/>
        <v/>
      </c>
      <c r="J332" s="91" t="str">
        <f t="shared" si="3"/>
        <v/>
      </c>
      <c r="K332" s="68" t="str">
        <f t="shared" si="11"/>
        <v/>
      </c>
      <c r="L332" s="64"/>
      <c r="M332" s="64"/>
      <c r="N332" s="64"/>
      <c r="O332" s="64"/>
      <c r="P332" s="4"/>
      <c r="Q332" s="4"/>
      <c r="R332" s="4"/>
      <c r="S332" s="4"/>
      <c r="T332" s="4"/>
      <c r="U332" s="4"/>
      <c r="V332" s="8">
        <f t="shared" si="12"/>
        <v>2.05007E+17</v>
      </c>
      <c r="W332" s="5" t="str">
        <f t="shared" si="7"/>
        <v>nops</v>
      </c>
      <c r="X332" s="67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</row>
    <row r="333" ht="19.5" customHeight="1">
      <c r="A333" s="56" t="s">
        <v>28</v>
      </c>
      <c r="B333" s="57">
        <v>314.0</v>
      </c>
      <c r="C333" s="89">
        <f t="shared" si="8"/>
        <v>4.03153E+17</v>
      </c>
      <c r="D333" s="89">
        <f t="shared" si="9"/>
        <v>4.47948E+16</v>
      </c>
      <c r="E333" s="59"/>
      <c r="F333" s="60" t="str">
        <f t="shared" si="1"/>
        <v>-</v>
      </c>
      <c r="G333" s="5" t="str">
        <f t="shared" si="2"/>
        <v>nops</v>
      </c>
      <c r="H333" s="94"/>
      <c r="I333" s="91" t="str">
        <f t="shared" si="10"/>
        <v/>
      </c>
      <c r="J333" s="91" t="str">
        <f t="shared" si="3"/>
        <v/>
      </c>
      <c r="K333" s="68" t="str">
        <f t="shared" si="11"/>
        <v/>
      </c>
      <c r="L333" s="64"/>
      <c r="M333" s="64"/>
      <c r="N333" s="64"/>
      <c r="O333" s="64"/>
      <c r="P333" s="4"/>
      <c r="Q333" s="4"/>
      <c r="R333" s="4"/>
      <c r="S333" s="4"/>
      <c r="T333" s="4"/>
      <c r="U333" s="4"/>
      <c r="V333" s="8">
        <f t="shared" si="12"/>
        <v>2.30633E+17</v>
      </c>
      <c r="W333" s="5" t="str">
        <f t="shared" si="7"/>
        <v>nops</v>
      </c>
      <c r="X333" s="67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</row>
    <row r="334" ht="19.5" customHeight="1">
      <c r="A334" s="56" t="s">
        <v>28</v>
      </c>
      <c r="B334" s="57">
        <v>315.0</v>
      </c>
      <c r="C334" s="89">
        <f t="shared" si="8"/>
        <v>4.53547E+17</v>
      </c>
      <c r="D334" s="89">
        <f t="shared" si="9"/>
        <v>5.03941E+16</v>
      </c>
      <c r="E334" s="59"/>
      <c r="F334" s="60" t="str">
        <f t="shared" si="1"/>
        <v>-</v>
      </c>
      <c r="G334" s="5" t="str">
        <f t="shared" si="2"/>
        <v>nops</v>
      </c>
      <c r="H334" s="94"/>
      <c r="I334" s="91" t="str">
        <f t="shared" si="10"/>
        <v/>
      </c>
      <c r="J334" s="91" t="str">
        <f t="shared" si="3"/>
        <v/>
      </c>
      <c r="K334" s="68" t="str">
        <f t="shared" si="11"/>
        <v/>
      </c>
      <c r="L334" s="64"/>
      <c r="M334" s="64"/>
      <c r="N334" s="64"/>
      <c r="O334" s="64"/>
      <c r="P334" s="4"/>
      <c r="Q334" s="4"/>
      <c r="R334" s="4"/>
      <c r="S334" s="4"/>
      <c r="T334" s="4"/>
      <c r="U334" s="4"/>
      <c r="V334" s="8">
        <f t="shared" si="12"/>
        <v>2.59462E+17</v>
      </c>
      <c r="W334" s="5" t="str">
        <f t="shared" si="7"/>
        <v>nops</v>
      </c>
      <c r="X334" s="67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</row>
    <row r="335" ht="19.5" customHeight="1">
      <c r="A335" s="56" t="s">
        <v>28</v>
      </c>
      <c r="B335" s="57">
        <v>316.0</v>
      </c>
      <c r="C335" s="89">
        <f t="shared" si="8"/>
        <v>5.10241E+17</v>
      </c>
      <c r="D335" s="89">
        <f t="shared" si="9"/>
        <v>5.66934E+16</v>
      </c>
      <c r="E335" s="59"/>
      <c r="F335" s="60" t="str">
        <f t="shared" si="1"/>
        <v>-</v>
      </c>
      <c r="G335" s="5" t="str">
        <f t="shared" si="2"/>
        <v>nops</v>
      </c>
      <c r="H335" s="94"/>
      <c r="I335" s="91" t="str">
        <f t="shared" si="10"/>
        <v/>
      </c>
      <c r="J335" s="91" t="str">
        <f t="shared" si="3"/>
        <v/>
      </c>
      <c r="K335" s="68" t="str">
        <f t="shared" si="11"/>
        <v/>
      </c>
      <c r="L335" s="64"/>
      <c r="M335" s="64"/>
      <c r="N335" s="64"/>
      <c r="O335" s="64"/>
      <c r="P335" s="4"/>
      <c r="Q335" s="4"/>
      <c r="R335" s="4"/>
      <c r="S335" s="4"/>
      <c r="T335" s="4"/>
      <c r="U335" s="4"/>
      <c r="V335" s="8">
        <f t="shared" si="12"/>
        <v>2.91895E+17</v>
      </c>
      <c r="W335" s="5" t="str">
        <f t="shared" si="7"/>
        <v>nops</v>
      </c>
      <c r="X335" s="67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</row>
    <row r="336" ht="19.5" customHeight="1">
      <c r="A336" s="56" t="s">
        <v>28</v>
      </c>
      <c r="B336" s="57">
        <v>317.0</v>
      </c>
      <c r="C336" s="89">
        <f t="shared" si="8"/>
        <v>5.74021E+17</v>
      </c>
      <c r="D336" s="89">
        <f t="shared" si="9"/>
        <v>6.37801E+16</v>
      </c>
      <c r="E336" s="59"/>
      <c r="F336" s="60" t="str">
        <f t="shared" si="1"/>
        <v>-</v>
      </c>
      <c r="G336" s="5" t="str">
        <f t="shared" si="2"/>
        <v>nops</v>
      </c>
      <c r="H336" s="94"/>
      <c r="I336" s="91" t="str">
        <f t="shared" si="10"/>
        <v/>
      </c>
      <c r="J336" s="91" t="str">
        <f t="shared" si="3"/>
        <v/>
      </c>
      <c r="K336" s="68" t="str">
        <f t="shared" si="11"/>
        <v/>
      </c>
      <c r="L336" s="64"/>
      <c r="M336" s="64"/>
      <c r="N336" s="64"/>
      <c r="O336" s="64"/>
      <c r="P336" s="4"/>
      <c r="Q336" s="4"/>
      <c r="R336" s="4"/>
      <c r="S336" s="4"/>
      <c r="T336" s="4"/>
      <c r="U336" s="4"/>
      <c r="V336" s="8">
        <f t="shared" si="12"/>
        <v>3.28382E+17</v>
      </c>
      <c r="W336" s="5" t="str">
        <f t="shared" si="7"/>
        <v>nops</v>
      </c>
      <c r="X336" s="67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</row>
    <row r="337" ht="19.5" customHeight="1">
      <c r="A337" s="56" t="s">
        <v>28</v>
      </c>
      <c r="B337" s="57">
        <v>318.0</v>
      </c>
      <c r="C337" s="89">
        <f t="shared" si="8"/>
        <v>6.45773E+17</v>
      </c>
      <c r="D337" s="89">
        <f t="shared" si="9"/>
        <v>7.17526E+16</v>
      </c>
      <c r="E337" s="59"/>
      <c r="F337" s="60" t="str">
        <f t="shared" si="1"/>
        <v>-</v>
      </c>
      <c r="G337" s="5" t="str">
        <f t="shared" si="2"/>
        <v>nops</v>
      </c>
      <c r="H337" s="94"/>
      <c r="I337" s="91" t="str">
        <f t="shared" si="10"/>
        <v/>
      </c>
      <c r="J337" s="91" t="str">
        <f t="shared" si="3"/>
        <v/>
      </c>
      <c r="K337" s="68" t="str">
        <f t="shared" si="11"/>
        <v/>
      </c>
      <c r="L337" s="64"/>
      <c r="M337" s="64"/>
      <c r="N337" s="64"/>
      <c r="O337" s="64"/>
      <c r="P337" s="4"/>
      <c r="Q337" s="4"/>
      <c r="R337" s="4"/>
      <c r="S337" s="4"/>
      <c r="T337" s="4"/>
      <c r="U337" s="4"/>
      <c r="V337" s="8">
        <f t="shared" si="12"/>
        <v>3.6943E+17</v>
      </c>
      <c r="W337" s="5" t="str">
        <f t="shared" si="7"/>
        <v>nops</v>
      </c>
      <c r="X337" s="67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</row>
    <row r="338" ht="19.5" customHeight="1">
      <c r="A338" s="56" t="s">
        <v>28</v>
      </c>
      <c r="B338" s="57">
        <v>319.0</v>
      </c>
      <c r="C338" s="89">
        <f t="shared" si="8"/>
        <v>7.26495E+17</v>
      </c>
      <c r="D338" s="89">
        <f t="shared" si="9"/>
        <v>8.07217E+16</v>
      </c>
      <c r="E338" s="59"/>
      <c r="F338" s="60" t="str">
        <f t="shared" si="1"/>
        <v>-</v>
      </c>
      <c r="G338" s="5" t="str">
        <f t="shared" si="2"/>
        <v>nops</v>
      </c>
      <c r="H338" s="94"/>
      <c r="I338" s="91" t="str">
        <f t="shared" si="10"/>
        <v/>
      </c>
      <c r="J338" s="91" t="str">
        <f t="shared" si="3"/>
        <v/>
      </c>
      <c r="K338" s="68" t="str">
        <f t="shared" si="11"/>
        <v/>
      </c>
      <c r="L338" s="64"/>
      <c r="M338" s="64"/>
      <c r="N338" s="64"/>
      <c r="O338" s="64"/>
      <c r="P338" s="4"/>
      <c r="Q338" s="4"/>
      <c r="R338" s="4"/>
      <c r="S338" s="4"/>
      <c r="T338" s="4"/>
      <c r="U338" s="4"/>
      <c r="V338" s="8">
        <f t="shared" si="12"/>
        <v>4.15609E+17</v>
      </c>
      <c r="W338" s="5" t="str">
        <f t="shared" si="7"/>
        <v>nops</v>
      </c>
      <c r="X338" s="67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</row>
    <row r="339" ht="19.5" customHeight="1">
      <c r="A339" s="56" t="s">
        <v>28</v>
      </c>
      <c r="B339" s="57">
        <v>320.0</v>
      </c>
      <c r="C339" s="89">
        <f t="shared" si="8"/>
        <v>8.17307E+17</v>
      </c>
      <c r="D339" s="89">
        <f t="shared" si="9"/>
        <v>9.08119E+16</v>
      </c>
      <c r="E339" s="59"/>
      <c r="F339" s="60" t="str">
        <f t="shared" si="1"/>
        <v>-</v>
      </c>
      <c r="G339" s="5" t="str">
        <f t="shared" si="2"/>
        <v>nops</v>
      </c>
      <c r="H339" s="94"/>
      <c r="I339" s="91" t="str">
        <f t="shared" si="10"/>
        <v/>
      </c>
      <c r="J339" s="91" t="str">
        <f t="shared" si="3"/>
        <v/>
      </c>
      <c r="K339" s="68" t="str">
        <f t="shared" si="11"/>
        <v/>
      </c>
      <c r="L339" s="64"/>
      <c r="M339" s="64"/>
      <c r="N339" s="64"/>
      <c r="O339" s="64"/>
      <c r="P339" s="4"/>
      <c r="Q339" s="4"/>
      <c r="R339" s="4"/>
      <c r="S339" s="4"/>
      <c r="T339" s="4"/>
      <c r="U339" s="4"/>
      <c r="V339" s="8">
        <f t="shared" si="12"/>
        <v>4.6756E+17</v>
      </c>
      <c r="W339" s="5" t="str">
        <f t="shared" si="7"/>
        <v>nops</v>
      </c>
      <c r="X339" s="67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</row>
    <row r="340" ht="19.5" customHeight="1">
      <c r="A340" s="56" t="s">
        <v>28</v>
      </c>
      <c r="B340" s="57">
        <v>321.0</v>
      </c>
      <c r="C340" s="89">
        <f t="shared" si="8"/>
        <v>9.1947E+17</v>
      </c>
      <c r="D340" s="89">
        <f t="shared" si="9"/>
        <v>1.02163E+17</v>
      </c>
      <c r="E340" s="59"/>
      <c r="F340" s="60" t="str">
        <f t="shared" si="1"/>
        <v>-</v>
      </c>
      <c r="G340" s="5" t="str">
        <f t="shared" si="2"/>
        <v>nops</v>
      </c>
      <c r="H340" s="94"/>
      <c r="I340" s="91" t="str">
        <f t="shared" si="10"/>
        <v/>
      </c>
      <c r="J340" s="91" t="str">
        <f t="shared" si="3"/>
        <v/>
      </c>
      <c r="K340" s="68" t="str">
        <f t="shared" si="11"/>
        <v/>
      </c>
      <c r="L340" s="64"/>
      <c r="M340" s="64"/>
      <c r="N340" s="64"/>
      <c r="O340" s="64"/>
      <c r="P340" s="4"/>
      <c r="Q340" s="4"/>
      <c r="R340" s="4"/>
      <c r="S340" s="4"/>
      <c r="T340" s="4"/>
      <c r="U340" s="4"/>
      <c r="V340" s="8">
        <f t="shared" si="12"/>
        <v>5.26005E+17</v>
      </c>
      <c r="W340" s="5" t="str">
        <f t="shared" si="7"/>
        <v>nops</v>
      </c>
      <c r="X340" s="67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</row>
    <row r="341" ht="19.5" customHeight="1">
      <c r="A341" s="56" t="s">
        <v>28</v>
      </c>
      <c r="B341" s="57">
        <v>322.0</v>
      </c>
      <c r="C341" s="89">
        <f t="shared" si="8"/>
        <v>1.0344E+18</v>
      </c>
      <c r="D341" s="89">
        <f t="shared" si="9"/>
        <v>1.14934E+17</v>
      </c>
      <c r="E341" s="59"/>
      <c r="F341" s="60" t="str">
        <f t="shared" si="1"/>
        <v>-</v>
      </c>
      <c r="G341" s="5" t="str">
        <f t="shared" si="2"/>
        <v>nops</v>
      </c>
      <c r="H341" s="94"/>
      <c r="I341" s="91" t="str">
        <f t="shared" si="10"/>
        <v/>
      </c>
      <c r="J341" s="91" t="str">
        <f t="shared" si="3"/>
        <v/>
      </c>
      <c r="K341" s="68" t="str">
        <f t="shared" si="11"/>
        <v/>
      </c>
      <c r="L341" s="64"/>
      <c r="M341" s="64"/>
      <c r="N341" s="64"/>
      <c r="O341" s="64"/>
      <c r="P341" s="4"/>
      <c r="Q341" s="4"/>
      <c r="R341" s="4"/>
      <c r="S341" s="4"/>
      <c r="T341" s="4"/>
      <c r="U341" s="4"/>
      <c r="V341" s="8">
        <f t="shared" si="12"/>
        <v>5.91755E+17</v>
      </c>
      <c r="W341" s="5" t="str">
        <f t="shared" si="7"/>
        <v>nops</v>
      </c>
      <c r="X341" s="67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</row>
    <row r="342" ht="19.5" customHeight="1">
      <c r="A342" s="56" t="s">
        <v>28</v>
      </c>
      <c r="B342" s="57">
        <v>323.0</v>
      </c>
      <c r="C342" s="89">
        <f t="shared" si="8"/>
        <v>1.1637E+18</v>
      </c>
      <c r="D342" s="89">
        <f t="shared" si="9"/>
        <v>1.293E+17</v>
      </c>
      <c r="E342" s="59"/>
      <c r="F342" s="60" t="str">
        <f t="shared" si="1"/>
        <v>-</v>
      </c>
      <c r="G342" s="5" t="str">
        <f t="shared" si="2"/>
        <v>nops</v>
      </c>
      <c r="H342" s="94"/>
      <c r="I342" s="91" t="str">
        <f t="shared" si="10"/>
        <v/>
      </c>
      <c r="J342" s="91" t="str">
        <f t="shared" si="3"/>
        <v/>
      </c>
      <c r="K342" s="68" t="str">
        <f t="shared" si="11"/>
        <v/>
      </c>
      <c r="L342" s="64"/>
      <c r="M342" s="64"/>
      <c r="N342" s="64"/>
      <c r="O342" s="64"/>
      <c r="P342" s="4"/>
      <c r="Q342" s="4"/>
      <c r="R342" s="4"/>
      <c r="S342" s="4"/>
      <c r="T342" s="4"/>
      <c r="U342" s="4"/>
      <c r="V342" s="8">
        <f t="shared" si="12"/>
        <v>6.65725E+17</v>
      </c>
      <c r="W342" s="5" t="str">
        <f t="shared" si="7"/>
        <v>nops</v>
      </c>
      <c r="X342" s="67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</row>
    <row r="343" ht="19.5" customHeight="1">
      <c r="A343" s="56" t="s">
        <v>28</v>
      </c>
      <c r="B343" s="57">
        <v>324.0</v>
      </c>
      <c r="C343" s="89">
        <f t="shared" si="8"/>
        <v>1.30917E+18</v>
      </c>
      <c r="D343" s="89">
        <f t="shared" si="9"/>
        <v>1.45463E+17</v>
      </c>
      <c r="E343" s="59"/>
      <c r="F343" s="60" t="str">
        <f t="shared" si="1"/>
        <v>-</v>
      </c>
      <c r="G343" s="5" t="str">
        <f t="shared" si="2"/>
        <v>nops</v>
      </c>
      <c r="H343" s="94"/>
      <c r="I343" s="91" t="str">
        <f t="shared" si="10"/>
        <v/>
      </c>
      <c r="J343" s="91" t="str">
        <f t="shared" si="3"/>
        <v/>
      </c>
      <c r="K343" s="68" t="str">
        <f t="shared" si="11"/>
        <v/>
      </c>
      <c r="L343" s="64"/>
      <c r="M343" s="64"/>
      <c r="N343" s="64"/>
      <c r="O343" s="64"/>
      <c r="P343" s="4"/>
      <c r="Q343" s="4"/>
      <c r="R343" s="4"/>
      <c r="S343" s="4"/>
      <c r="T343" s="4"/>
      <c r="U343" s="4"/>
      <c r="V343" s="8">
        <f t="shared" si="12"/>
        <v>7.4894E+17</v>
      </c>
      <c r="W343" s="5" t="str">
        <f t="shared" si="7"/>
        <v>nops</v>
      </c>
      <c r="X343" s="67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</row>
    <row r="344" ht="19.5" customHeight="1">
      <c r="A344" s="56" t="s">
        <v>28</v>
      </c>
      <c r="B344" s="57">
        <v>325.0</v>
      </c>
      <c r="C344" s="89">
        <f t="shared" si="8"/>
        <v>1.47281E+18</v>
      </c>
      <c r="D344" s="89">
        <f t="shared" si="9"/>
        <v>1.63646E+17</v>
      </c>
      <c r="E344" s="59"/>
      <c r="F344" s="60" t="str">
        <f t="shared" si="1"/>
        <v>-</v>
      </c>
      <c r="G344" s="5" t="str">
        <f t="shared" si="2"/>
        <v>nops</v>
      </c>
      <c r="H344" s="94"/>
      <c r="I344" s="91" t="str">
        <f t="shared" si="10"/>
        <v/>
      </c>
      <c r="J344" s="91" t="str">
        <f t="shared" si="3"/>
        <v/>
      </c>
      <c r="K344" s="68" t="str">
        <f t="shared" si="11"/>
        <v/>
      </c>
      <c r="L344" s="64"/>
      <c r="M344" s="64"/>
      <c r="N344" s="64"/>
      <c r="O344" s="64"/>
      <c r="P344" s="4"/>
      <c r="Q344" s="4"/>
      <c r="R344" s="4"/>
      <c r="S344" s="4"/>
      <c r="T344" s="4"/>
      <c r="U344" s="4"/>
      <c r="V344" s="8">
        <f t="shared" si="12"/>
        <v>8.42558E+17</v>
      </c>
      <c r="W344" s="5" t="str">
        <f t="shared" si="7"/>
        <v>nops</v>
      </c>
      <c r="X344" s="67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</row>
    <row r="345" ht="19.5" customHeight="1">
      <c r="A345" s="56" t="s">
        <v>28</v>
      </c>
      <c r="B345" s="57">
        <v>326.0</v>
      </c>
      <c r="C345" s="89">
        <f t="shared" si="8"/>
        <v>1.65692E+18</v>
      </c>
      <c r="D345" s="89">
        <f t="shared" si="9"/>
        <v>1.84102E+17</v>
      </c>
      <c r="E345" s="59"/>
      <c r="F345" s="60" t="str">
        <f t="shared" si="1"/>
        <v>-</v>
      </c>
      <c r="G345" s="5" t="str">
        <f t="shared" si="2"/>
        <v>nops</v>
      </c>
      <c r="H345" s="94"/>
      <c r="I345" s="91" t="str">
        <f t="shared" si="10"/>
        <v/>
      </c>
      <c r="J345" s="91" t="str">
        <f t="shared" si="3"/>
        <v/>
      </c>
      <c r="K345" s="68" t="str">
        <f t="shared" si="11"/>
        <v/>
      </c>
      <c r="L345" s="64"/>
      <c r="M345" s="64"/>
      <c r="N345" s="64"/>
      <c r="O345" s="64"/>
      <c r="P345" s="4"/>
      <c r="Q345" s="4"/>
      <c r="R345" s="4"/>
      <c r="S345" s="4"/>
      <c r="T345" s="4"/>
      <c r="U345" s="4"/>
      <c r="V345" s="8">
        <f t="shared" si="12"/>
        <v>9.47878E+17</v>
      </c>
      <c r="W345" s="5" t="str">
        <f t="shared" si="7"/>
        <v>nops</v>
      </c>
      <c r="X345" s="67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</row>
    <row r="346" ht="19.5" customHeight="1">
      <c r="A346" s="56" t="s">
        <v>28</v>
      </c>
      <c r="B346" s="57">
        <v>327.0</v>
      </c>
      <c r="C346" s="89">
        <f t="shared" si="8"/>
        <v>1.86403E+18</v>
      </c>
      <c r="D346" s="89">
        <f t="shared" si="9"/>
        <v>2.07114E+17</v>
      </c>
      <c r="E346" s="59"/>
      <c r="F346" s="60" t="str">
        <f t="shared" si="1"/>
        <v>-</v>
      </c>
      <c r="G346" s="5" t="str">
        <f t="shared" si="2"/>
        <v>nops</v>
      </c>
      <c r="H346" s="94"/>
      <c r="I346" s="91" t="str">
        <f t="shared" si="10"/>
        <v/>
      </c>
      <c r="J346" s="91" t="str">
        <f t="shared" si="3"/>
        <v/>
      </c>
      <c r="K346" s="68" t="str">
        <f t="shared" si="11"/>
        <v/>
      </c>
      <c r="L346" s="64"/>
      <c r="M346" s="64"/>
      <c r="N346" s="64"/>
      <c r="O346" s="64"/>
      <c r="P346" s="4"/>
      <c r="Q346" s="4"/>
      <c r="R346" s="4"/>
      <c r="S346" s="4"/>
      <c r="T346" s="4"/>
      <c r="U346" s="4"/>
      <c r="V346" s="8">
        <f t="shared" si="12"/>
        <v>1.06636E+18</v>
      </c>
      <c r="W346" s="5" t="str">
        <f t="shared" si="7"/>
        <v>nops</v>
      </c>
      <c r="X346" s="67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</row>
    <row r="347" ht="19.5" customHeight="1">
      <c r="A347" s="56" t="s">
        <v>28</v>
      </c>
      <c r="B347" s="57">
        <v>328.0</v>
      </c>
      <c r="C347" s="89">
        <f t="shared" si="8"/>
        <v>2.09703E+18</v>
      </c>
      <c r="D347" s="89">
        <f t="shared" si="9"/>
        <v>2.33004E+17</v>
      </c>
      <c r="E347" s="59"/>
      <c r="F347" s="60" t="str">
        <f t="shared" si="1"/>
        <v>-</v>
      </c>
      <c r="G347" s="5" t="str">
        <f t="shared" si="2"/>
        <v>nops</v>
      </c>
      <c r="H347" s="94"/>
      <c r="I347" s="91" t="str">
        <f t="shared" si="10"/>
        <v/>
      </c>
      <c r="J347" s="91" t="str">
        <f t="shared" si="3"/>
        <v/>
      </c>
      <c r="K347" s="68" t="str">
        <f t="shared" si="11"/>
        <v/>
      </c>
      <c r="L347" s="64"/>
      <c r="M347" s="64"/>
      <c r="N347" s="64"/>
      <c r="O347" s="64"/>
      <c r="P347" s="4"/>
      <c r="Q347" s="4"/>
      <c r="R347" s="4"/>
      <c r="S347" s="4"/>
      <c r="T347" s="4"/>
      <c r="U347" s="4"/>
      <c r="V347" s="8">
        <f t="shared" si="12"/>
        <v>1.19966E+18</v>
      </c>
      <c r="W347" s="5" t="str">
        <f t="shared" si="7"/>
        <v>nops</v>
      </c>
      <c r="X347" s="67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</row>
    <row r="348" ht="19.5" customHeight="1">
      <c r="A348" s="56" t="s">
        <v>28</v>
      </c>
      <c r="B348" s="57">
        <v>329.0</v>
      </c>
      <c r="C348" s="89">
        <f t="shared" si="8"/>
        <v>2.35916E+18</v>
      </c>
      <c r="D348" s="89">
        <f t="shared" si="9"/>
        <v>2.62129E+17</v>
      </c>
      <c r="E348" s="59"/>
      <c r="F348" s="60" t="str">
        <f t="shared" si="1"/>
        <v>-</v>
      </c>
      <c r="G348" s="5" t="str">
        <f t="shared" si="2"/>
        <v>nops</v>
      </c>
      <c r="H348" s="94"/>
      <c r="I348" s="91" t="str">
        <f t="shared" si="10"/>
        <v/>
      </c>
      <c r="J348" s="91" t="str">
        <f t="shared" si="3"/>
        <v/>
      </c>
      <c r="K348" s="68" t="str">
        <f t="shared" si="11"/>
        <v/>
      </c>
      <c r="L348" s="64"/>
      <c r="M348" s="64"/>
      <c r="N348" s="64"/>
      <c r="O348" s="64"/>
      <c r="P348" s="4"/>
      <c r="Q348" s="4"/>
      <c r="R348" s="4"/>
      <c r="S348" s="4"/>
      <c r="T348" s="4"/>
      <c r="U348" s="4"/>
      <c r="V348" s="8">
        <f t="shared" si="12"/>
        <v>1.34961E+18</v>
      </c>
      <c r="W348" s="5" t="str">
        <f t="shared" si="7"/>
        <v>nops</v>
      </c>
      <c r="X348" s="67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</row>
    <row r="349" ht="19.5" customHeight="1">
      <c r="A349" s="56" t="s">
        <v>28</v>
      </c>
      <c r="B349" s="57">
        <v>330.0</v>
      </c>
      <c r="C349" s="89">
        <f t="shared" si="8"/>
        <v>2.65406E+18</v>
      </c>
      <c r="D349" s="89">
        <f t="shared" si="9"/>
        <v>2.94895E+17</v>
      </c>
      <c r="E349" s="59"/>
      <c r="F349" s="60" t="str">
        <f t="shared" si="1"/>
        <v>-</v>
      </c>
      <c r="G349" s="5" t="str">
        <f t="shared" si="2"/>
        <v>nops</v>
      </c>
      <c r="H349" s="94"/>
      <c r="I349" s="91" t="str">
        <f t="shared" si="10"/>
        <v/>
      </c>
      <c r="J349" s="91" t="str">
        <f t="shared" si="3"/>
        <v/>
      </c>
      <c r="K349" s="68" t="str">
        <f t="shared" si="11"/>
        <v/>
      </c>
      <c r="L349" s="64"/>
      <c r="M349" s="64"/>
      <c r="N349" s="64"/>
      <c r="O349" s="64"/>
      <c r="P349" s="4"/>
      <c r="Q349" s="4"/>
      <c r="R349" s="4"/>
      <c r="S349" s="4"/>
      <c r="T349" s="4"/>
      <c r="U349" s="4"/>
      <c r="V349" s="8">
        <f t="shared" si="12"/>
        <v>1.51832E+18</v>
      </c>
      <c r="W349" s="5" t="str">
        <f t="shared" si="7"/>
        <v>nops</v>
      </c>
      <c r="X349" s="67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</row>
    <row r="350" ht="19.5" customHeight="1">
      <c r="A350" s="56" t="s">
        <v>28</v>
      </c>
      <c r="B350" s="57">
        <v>331.0</v>
      </c>
      <c r="C350" s="89">
        <f t="shared" si="8"/>
        <v>2.98581E+18</v>
      </c>
      <c r="D350" s="89">
        <f t="shared" si="9"/>
        <v>3.31757E+17</v>
      </c>
      <c r="E350" s="59"/>
      <c r="F350" s="60" t="str">
        <f t="shared" si="1"/>
        <v>-</v>
      </c>
      <c r="G350" s="5" t="str">
        <f t="shared" si="2"/>
        <v>nops</v>
      </c>
      <c r="H350" s="94"/>
      <c r="I350" s="91" t="str">
        <f t="shared" si="10"/>
        <v/>
      </c>
      <c r="J350" s="91" t="str">
        <f t="shared" si="3"/>
        <v/>
      </c>
      <c r="K350" s="68" t="str">
        <f t="shared" si="11"/>
        <v/>
      </c>
      <c r="L350" s="64"/>
      <c r="M350" s="64"/>
      <c r="N350" s="64"/>
      <c r="O350" s="64"/>
      <c r="P350" s="4"/>
      <c r="Q350" s="4"/>
      <c r="R350" s="4"/>
      <c r="S350" s="4"/>
      <c r="T350" s="4"/>
      <c r="U350" s="4"/>
      <c r="V350" s="8">
        <f t="shared" si="12"/>
        <v>1.70811E+18</v>
      </c>
      <c r="W350" s="5" t="str">
        <f t="shared" si="7"/>
        <v>nops</v>
      </c>
      <c r="X350" s="67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</row>
    <row r="351" ht="19.5" customHeight="1">
      <c r="A351" s="56" t="s">
        <v>28</v>
      </c>
      <c r="B351" s="57">
        <v>332.0</v>
      </c>
      <c r="C351" s="89">
        <f t="shared" si="8"/>
        <v>3.35904E+18</v>
      </c>
      <c r="D351" s="89">
        <f t="shared" si="9"/>
        <v>3.73227E+17</v>
      </c>
      <c r="E351" s="59"/>
      <c r="F351" s="60" t="str">
        <f t="shared" si="1"/>
        <v>-</v>
      </c>
      <c r="G351" s="5" t="str">
        <f t="shared" si="2"/>
        <v>nops</v>
      </c>
      <c r="H351" s="94"/>
      <c r="I351" s="91" t="str">
        <f t="shared" si="10"/>
        <v/>
      </c>
      <c r="J351" s="91" t="str">
        <f t="shared" si="3"/>
        <v/>
      </c>
      <c r="K351" s="68" t="str">
        <f t="shared" si="11"/>
        <v/>
      </c>
      <c r="L351" s="64"/>
      <c r="M351" s="64"/>
      <c r="N351" s="64"/>
      <c r="O351" s="64"/>
      <c r="P351" s="4"/>
      <c r="Q351" s="4"/>
      <c r="R351" s="4"/>
      <c r="S351" s="4"/>
      <c r="T351" s="4"/>
      <c r="U351" s="4"/>
      <c r="V351" s="8">
        <f t="shared" si="12"/>
        <v>1.92162E+18</v>
      </c>
      <c r="W351" s="5" t="str">
        <f t="shared" si="7"/>
        <v>nops</v>
      </c>
      <c r="X351" s="67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</row>
    <row r="352" ht="19.5" customHeight="1">
      <c r="A352" s="56" t="s">
        <v>28</v>
      </c>
      <c r="B352" s="57">
        <v>333.0</v>
      </c>
      <c r="C352" s="89">
        <f t="shared" si="8"/>
        <v>3.77892E+18</v>
      </c>
      <c r="D352" s="89">
        <f t="shared" si="9"/>
        <v>4.1988E+17</v>
      </c>
      <c r="E352" s="59"/>
      <c r="F352" s="60" t="str">
        <f t="shared" si="1"/>
        <v>-</v>
      </c>
      <c r="G352" s="5" t="str">
        <f t="shared" si="2"/>
        <v>nops</v>
      </c>
      <c r="H352" s="94"/>
      <c r="I352" s="91" t="str">
        <f t="shared" si="10"/>
        <v/>
      </c>
      <c r="J352" s="91" t="str">
        <f t="shared" si="3"/>
        <v/>
      </c>
      <c r="K352" s="68" t="str">
        <f t="shared" si="11"/>
        <v/>
      </c>
      <c r="L352" s="64"/>
      <c r="M352" s="64"/>
      <c r="N352" s="64"/>
      <c r="O352" s="64"/>
      <c r="P352" s="4"/>
      <c r="Q352" s="4"/>
      <c r="R352" s="4"/>
      <c r="S352" s="4"/>
      <c r="T352" s="4"/>
      <c r="U352" s="4"/>
      <c r="V352" s="8">
        <f t="shared" si="12"/>
        <v>2.16182E+18</v>
      </c>
      <c r="W352" s="5" t="str">
        <f t="shared" si="7"/>
        <v>nops</v>
      </c>
      <c r="X352" s="67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</row>
    <row r="353" ht="19.5" customHeight="1">
      <c r="A353" s="56" t="s">
        <v>28</v>
      </c>
      <c r="B353" s="57">
        <v>334.0</v>
      </c>
      <c r="C353" s="89">
        <f t="shared" si="8"/>
        <v>4.25129E+18</v>
      </c>
      <c r="D353" s="89">
        <f t="shared" si="9"/>
        <v>4.72365E+17</v>
      </c>
      <c r="E353" s="59"/>
      <c r="F353" s="60" t="str">
        <f t="shared" si="1"/>
        <v>-</v>
      </c>
      <c r="G353" s="5" t="str">
        <f t="shared" si="2"/>
        <v>nops</v>
      </c>
      <c r="H353" s="94"/>
      <c r="I353" s="91" t="str">
        <f t="shared" si="10"/>
        <v/>
      </c>
      <c r="J353" s="91" t="str">
        <f t="shared" si="3"/>
        <v/>
      </c>
      <c r="K353" s="68" t="str">
        <f t="shared" si="11"/>
        <v/>
      </c>
      <c r="L353" s="64"/>
      <c r="M353" s="64"/>
      <c r="N353" s="64"/>
      <c r="O353" s="64"/>
      <c r="P353" s="4"/>
      <c r="Q353" s="4"/>
      <c r="R353" s="4"/>
      <c r="S353" s="4"/>
      <c r="T353" s="4"/>
      <c r="U353" s="4"/>
      <c r="V353" s="8">
        <f t="shared" si="12"/>
        <v>2.43205E+18</v>
      </c>
      <c r="W353" s="5" t="str">
        <f t="shared" si="7"/>
        <v>nops</v>
      </c>
      <c r="X353" s="67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</row>
    <row r="354" ht="19.5" customHeight="1">
      <c r="A354" s="56" t="s">
        <v>28</v>
      </c>
      <c r="B354" s="57">
        <v>335.0</v>
      </c>
      <c r="C354" s="89">
        <f t="shared" si="8"/>
        <v>4.7827E+18</v>
      </c>
      <c r="D354" s="89">
        <f t="shared" si="9"/>
        <v>5.31411E+17</v>
      </c>
      <c r="E354" s="59"/>
      <c r="F354" s="60" t="str">
        <f t="shared" si="1"/>
        <v>-</v>
      </c>
      <c r="G354" s="5" t="str">
        <f t="shared" si="2"/>
        <v>nops</v>
      </c>
      <c r="H354" s="94"/>
      <c r="I354" s="91" t="str">
        <f t="shared" si="10"/>
        <v/>
      </c>
      <c r="J354" s="91" t="str">
        <f t="shared" si="3"/>
        <v/>
      </c>
      <c r="K354" s="68" t="str">
        <f t="shared" si="11"/>
        <v/>
      </c>
      <c r="L354" s="64"/>
      <c r="M354" s="64"/>
      <c r="N354" s="64"/>
      <c r="O354" s="64"/>
      <c r="P354" s="4"/>
      <c r="Q354" s="4"/>
      <c r="R354" s="4"/>
      <c r="S354" s="4"/>
      <c r="T354" s="4"/>
      <c r="U354" s="4"/>
      <c r="V354" s="8">
        <f t="shared" si="12"/>
        <v>2.73606E+18</v>
      </c>
      <c r="W354" s="5" t="str">
        <f t="shared" si="7"/>
        <v>nops</v>
      </c>
      <c r="X354" s="67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</row>
    <row r="355" ht="19.5" customHeight="1">
      <c r="A355" s="56" t="s">
        <v>28</v>
      </c>
      <c r="B355" s="57">
        <v>336.0</v>
      </c>
      <c r="C355" s="89">
        <f t="shared" si="8"/>
        <v>5.38054E+18</v>
      </c>
      <c r="D355" s="89">
        <f t="shared" si="9"/>
        <v>5.97837E+17</v>
      </c>
      <c r="E355" s="59"/>
      <c r="F355" s="60" t="str">
        <f t="shared" si="1"/>
        <v>-</v>
      </c>
      <c r="G355" s="5" t="str">
        <f t="shared" si="2"/>
        <v>nops</v>
      </c>
      <c r="H355" s="94"/>
      <c r="I355" s="91" t="str">
        <f t="shared" si="10"/>
        <v/>
      </c>
      <c r="J355" s="91" t="str">
        <f t="shared" si="3"/>
        <v/>
      </c>
      <c r="K355" s="68" t="str">
        <f t="shared" si="11"/>
        <v/>
      </c>
      <c r="L355" s="64"/>
      <c r="M355" s="64"/>
      <c r="N355" s="64"/>
      <c r="O355" s="64"/>
      <c r="P355" s="4"/>
      <c r="Q355" s="4"/>
      <c r="R355" s="4"/>
      <c r="S355" s="4"/>
      <c r="T355" s="4"/>
      <c r="U355" s="4"/>
      <c r="V355" s="8">
        <f t="shared" si="12"/>
        <v>3.07806E+18</v>
      </c>
      <c r="W355" s="5" t="str">
        <f t="shared" si="7"/>
        <v>nops</v>
      </c>
      <c r="X355" s="67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</row>
    <row r="356" ht="19.5" customHeight="1">
      <c r="A356" s="56" t="s">
        <v>28</v>
      </c>
      <c r="B356" s="57">
        <v>337.0</v>
      </c>
      <c r="C356" s="89">
        <f t="shared" si="8"/>
        <v>6.0531E+18</v>
      </c>
      <c r="D356" s="89">
        <f t="shared" si="9"/>
        <v>6.72567E+17</v>
      </c>
      <c r="E356" s="59"/>
      <c r="F356" s="60" t="str">
        <f t="shared" si="1"/>
        <v>-</v>
      </c>
      <c r="G356" s="5" t="str">
        <f t="shared" si="2"/>
        <v>nops</v>
      </c>
      <c r="H356" s="94"/>
      <c r="I356" s="91" t="str">
        <f t="shared" si="10"/>
        <v/>
      </c>
      <c r="J356" s="91" t="str">
        <f t="shared" si="3"/>
        <v/>
      </c>
      <c r="K356" s="68" t="str">
        <f t="shared" si="11"/>
        <v/>
      </c>
      <c r="L356" s="64"/>
      <c r="M356" s="64"/>
      <c r="N356" s="64"/>
      <c r="O356" s="64"/>
      <c r="P356" s="4"/>
      <c r="Q356" s="4"/>
      <c r="R356" s="4"/>
      <c r="S356" s="4"/>
      <c r="T356" s="4"/>
      <c r="U356" s="4"/>
      <c r="V356" s="8">
        <f t="shared" si="12"/>
        <v>3.46282E+18</v>
      </c>
      <c r="W356" s="5" t="str">
        <f t="shared" si="7"/>
        <v>nops</v>
      </c>
      <c r="X356" s="67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</row>
    <row r="357" ht="19.5" customHeight="1">
      <c r="A357" s="56" t="s">
        <v>28</v>
      </c>
      <c r="B357" s="57">
        <v>338.0</v>
      </c>
      <c r="C357" s="89">
        <f t="shared" si="8"/>
        <v>6.80974E+18</v>
      </c>
      <c r="D357" s="89">
        <f t="shared" si="9"/>
        <v>7.56638E+17</v>
      </c>
      <c r="E357" s="59"/>
      <c r="F357" s="60" t="str">
        <f t="shared" si="1"/>
        <v>-</v>
      </c>
      <c r="G357" s="5" t="str">
        <f t="shared" si="2"/>
        <v>nops</v>
      </c>
      <c r="H357" s="94"/>
      <c r="I357" s="91" t="str">
        <f t="shared" si="10"/>
        <v/>
      </c>
      <c r="J357" s="91" t="str">
        <f t="shared" si="3"/>
        <v/>
      </c>
      <c r="K357" s="68" t="str">
        <f t="shared" si="11"/>
        <v/>
      </c>
      <c r="L357" s="64"/>
      <c r="M357" s="64"/>
      <c r="N357" s="64"/>
      <c r="O357" s="64"/>
      <c r="P357" s="4"/>
      <c r="Q357" s="4"/>
      <c r="R357" s="4"/>
      <c r="S357" s="4"/>
      <c r="T357" s="4"/>
      <c r="U357" s="4"/>
      <c r="V357" s="8">
        <f t="shared" si="12"/>
        <v>3.89567E+18</v>
      </c>
      <c r="W357" s="5" t="str">
        <f t="shared" si="7"/>
        <v>nops</v>
      </c>
      <c r="X357" s="67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</row>
    <row r="358" ht="19.5" customHeight="1">
      <c r="A358" s="56" t="s">
        <v>28</v>
      </c>
      <c r="B358" s="57">
        <v>339.0</v>
      </c>
      <c r="C358" s="89">
        <f t="shared" si="8"/>
        <v>7.66096E+18</v>
      </c>
      <c r="D358" s="89">
        <f t="shared" si="9"/>
        <v>8.51217E+17</v>
      </c>
      <c r="E358" s="59"/>
      <c r="F358" s="60" t="str">
        <f t="shared" si="1"/>
        <v>-</v>
      </c>
      <c r="G358" s="5" t="str">
        <f t="shared" si="2"/>
        <v>nops</v>
      </c>
      <c r="H358" s="94"/>
      <c r="I358" s="91" t="str">
        <f t="shared" si="10"/>
        <v/>
      </c>
      <c r="J358" s="91" t="str">
        <f t="shared" si="3"/>
        <v/>
      </c>
      <c r="K358" s="68" t="str">
        <f t="shared" si="11"/>
        <v/>
      </c>
      <c r="L358" s="64"/>
      <c r="M358" s="64"/>
      <c r="N358" s="64"/>
      <c r="O358" s="64"/>
      <c r="P358" s="4"/>
      <c r="Q358" s="4"/>
      <c r="R358" s="4"/>
      <c r="S358" s="4"/>
      <c r="T358" s="4"/>
      <c r="U358" s="4"/>
      <c r="V358" s="8">
        <f t="shared" si="12"/>
        <v>4.38263E+18</v>
      </c>
      <c r="W358" s="5" t="str">
        <f t="shared" si="7"/>
        <v>nops</v>
      </c>
      <c r="X358" s="67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</row>
    <row r="359" ht="19.5" customHeight="1">
      <c r="A359" s="56" t="s">
        <v>28</v>
      </c>
      <c r="B359" s="57">
        <v>340.0</v>
      </c>
      <c r="C359" s="89">
        <f t="shared" si="8"/>
        <v>8.61858E+18</v>
      </c>
      <c r="D359" s="89">
        <f t="shared" si="9"/>
        <v>9.5762E+17</v>
      </c>
      <c r="E359" s="59"/>
      <c r="F359" s="60" t="str">
        <f t="shared" si="1"/>
        <v>-</v>
      </c>
      <c r="G359" s="5" t="str">
        <f t="shared" si="2"/>
        <v>nops</v>
      </c>
      <c r="H359" s="94"/>
      <c r="I359" s="91" t="str">
        <f t="shared" si="10"/>
        <v/>
      </c>
      <c r="J359" s="91" t="str">
        <f t="shared" si="3"/>
        <v/>
      </c>
      <c r="K359" s="68" t="str">
        <f t="shared" si="11"/>
        <v/>
      </c>
      <c r="L359" s="64"/>
      <c r="M359" s="64"/>
      <c r="N359" s="64"/>
      <c r="O359" s="64"/>
      <c r="P359" s="4"/>
      <c r="Q359" s="4"/>
      <c r="R359" s="4"/>
      <c r="S359" s="4"/>
      <c r="T359" s="4"/>
      <c r="U359" s="4"/>
      <c r="V359" s="8">
        <f t="shared" si="12"/>
        <v>4.93046E+18</v>
      </c>
      <c r="W359" s="5" t="str">
        <f t="shared" si="7"/>
        <v>nops</v>
      </c>
      <c r="X359" s="67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</row>
    <row r="360" ht="19.5" customHeight="1">
      <c r="A360" s="56" t="s">
        <v>28</v>
      </c>
      <c r="B360" s="57">
        <v>341.0</v>
      </c>
      <c r="C360" s="89">
        <f t="shared" si="8"/>
        <v>9.6959E+18</v>
      </c>
      <c r="D360" s="89">
        <f t="shared" si="9"/>
        <v>1.07732E+18</v>
      </c>
      <c r="E360" s="59"/>
      <c r="F360" s="60" t="str">
        <f t="shared" si="1"/>
        <v>-</v>
      </c>
      <c r="G360" s="5" t="str">
        <f t="shared" si="2"/>
        <v>nops</v>
      </c>
      <c r="H360" s="94"/>
      <c r="I360" s="91" t="str">
        <f t="shared" si="10"/>
        <v/>
      </c>
      <c r="J360" s="91" t="str">
        <f t="shared" si="3"/>
        <v/>
      </c>
      <c r="K360" s="68" t="str">
        <f t="shared" si="11"/>
        <v/>
      </c>
      <c r="L360" s="64"/>
      <c r="M360" s="64"/>
      <c r="N360" s="64"/>
      <c r="O360" s="64"/>
      <c r="P360" s="4"/>
      <c r="Q360" s="4"/>
      <c r="R360" s="4"/>
      <c r="S360" s="4"/>
      <c r="T360" s="4"/>
      <c r="U360" s="4"/>
      <c r="V360" s="8">
        <f t="shared" si="12"/>
        <v>5.54677E+18</v>
      </c>
      <c r="W360" s="5" t="str">
        <f t="shared" si="7"/>
        <v>nops</v>
      </c>
      <c r="X360" s="67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</row>
    <row r="361" ht="19.5" customHeight="1">
      <c r="A361" s="56" t="s">
        <v>28</v>
      </c>
      <c r="B361" s="57">
        <v>342.0</v>
      </c>
      <c r="C361" s="89">
        <f t="shared" si="8"/>
        <v>1.09079E+19</v>
      </c>
      <c r="D361" s="89">
        <f t="shared" si="9"/>
        <v>1.21199E+18</v>
      </c>
      <c r="E361" s="59"/>
      <c r="F361" s="60" t="str">
        <f t="shared" si="1"/>
        <v>-</v>
      </c>
      <c r="G361" s="5" t="str">
        <f t="shared" si="2"/>
        <v>nops</v>
      </c>
      <c r="H361" s="94"/>
      <c r="I361" s="91" t="str">
        <f t="shared" si="10"/>
        <v/>
      </c>
      <c r="J361" s="91" t="str">
        <f t="shared" si="3"/>
        <v/>
      </c>
      <c r="K361" s="68" t="str">
        <f t="shared" si="11"/>
        <v/>
      </c>
      <c r="L361" s="64"/>
      <c r="M361" s="64"/>
      <c r="N361" s="64"/>
      <c r="O361" s="64"/>
      <c r="P361" s="4"/>
      <c r="Q361" s="4"/>
      <c r="R361" s="4"/>
      <c r="S361" s="4"/>
      <c r="T361" s="4"/>
      <c r="U361" s="4"/>
      <c r="V361" s="8">
        <f t="shared" si="12"/>
        <v>6.24012E+18</v>
      </c>
      <c r="W361" s="5" t="str">
        <f t="shared" si="7"/>
        <v>nops</v>
      </c>
      <c r="X361" s="67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</row>
    <row r="362" ht="19.5" customHeight="1">
      <c r="A362" s="56" t="s">
        <v>28</v>
      </c>
      <c r="B362" s="57">
        <v>343.0</v>
      </c>
      <c r="C362" s="89">
        <f t="shared" si="8"/>
        <v>1.22714E+19</v>
      </c>
      <c r="D362" s="89">
        <f t="shared" si="9"/>
        <v>1.36349E+18</v>
      </c>
      <c r="E362" s="59"/>
      <c r="F362" s="60" t="str">
        <f t="shared" si="1"/>
        <v>-</v>
      </c>
      <c r="G362" s="5" t="str">
        <f t="shared" si="2"/>
        <v>nops</v>
      </c>
      <c r="H362" s="94"/>
      <c r="I362" s="91" t="str">
        <f t="shared" si="10"/>
        <v/>
      </c>
      <c r="J362" s="91" t="str">
        <f t="shared" si="3"/>
        <v/>
      </c>
      <c r="K362" s="68" t="str">
        <f t="shared" si="11"/>
        <v/>
      </c>
      <c r="L362" s="64"/>
      <c r="M362" s="64"/>
      <c r="N362" s="64"/>
      <c r="O362" s="64"/>
      <c r="P362" s="4"/>
      <c r="Q362" s="4"/>
      <c r="R362" s="4"/>
      <c r="S362" s="4"/>
      <c r="T362" s="4"/>
      <c r="U362" s="4"/>
      <c r="V362" s="8">
        <f t="shared" si="12"/>
        <v>7.02013E+18</v>
      </c>
      <c r="W362" s="5" t="str">
        <f t="shared" si="7"/>
        <v>nops</v>
      </c>
      <c r="X362" s="67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</row>
    <row r="363" ht="19.5" customHeight="1">
      <c r="A363" s="56" t="s">
        <v>28</v>
      </c>
      <c r="B363" s="57">
        <v>344.0</v>
      </c>
      <c r="C363" s="89">
        <f t="shared" si="8"/>
        <v>1.38053E+19</v>
      </c>
      <c r="D363" s="89">
        <f t="shared" si="9"/>
        <v>1.53392E+18</v>
      </c>
      <c r="E363" s="59"/>
      <c r="F363" s="60" t="str">
        <f t="shared" si="1"/>
        <v>-</v>
      </c>
      <c r="G363" s="5" t="str">
        <f t="shared" si="2"/>
        <v>nops</v>
      </c>
      <c r="H363" s="94"/>
      <c r="I363" s="91" t="str">
        <f t="shared" si="10"/>
        <v/>
      </c>
      <c r="J363" s="91" t="str">
        <f t="shared" si="3"/>
        <v/>
      </c>
      <c r="K363" s="68" t="str">
        <f t="shared" si="11"/>
        <v/>
      </c>
      <c r="L363" s="64"/>
      <c r="M363" s="64"/>
      <c r="N363" s="64"/>
      <c r="O363" s="64"/>
      <c r="P363" s="4"/>
      <c r="Q363" s="4"/>
      <c r="R363" s="4"/>
      <c r="S363" s="4"/>
      <c r="T363" s="4"/>
      <c r="U363" s="4"/>
      <c r="V363" s="8">
        <f t="shared" si="12"/>
        <v>7.89765E+18</v>
      </c>
      <c r="W363" s="5" t="str">
        <f t="shared" si="7"/>
        <v>nops</v>
      </c>
      <c r="X363" s="67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</row>
    <row r="364" ht="19.5" customHeight="1">
      <c r="A364" s="56" t="s">
        <v>28</v>
      </c>
      <c r="B364" s="57">
        <v>345.0</v>
      </c>
      <c r="C364" s="89">
        <f t="shared" si="8"/>
        <v>1.5531E+19</v>
      </c>
      <c r="D364" s="89">
        <f t="shared" si="9"/>
        <v>1.72566E+18</v>
      </c>
      <c r="E364" s="59"/>
      <c r="F364" s="60" t="str">
        <f t="shared" si="1"/>
        <v>-</v>
      </c>
      <c r="G364" s="5" t="str">
        <f t="shared" si="2"/>
        <v>nops</v>
      </c>
      <c r="H364" s="94"/>
      <c r="I364" s="91" t="str">
        <f t="shared" si="10"/>
        <v/>
      </c>
      <c r="J364" s="91" t="str">
        <f t="shared" si="3"/>
        <v/>
      </c>
      <c r="K364" s="68" t="str">
        <f t="shared" si="11"/>
        <v/>
      </c>
      <c r="L364" s="64"/>
      <c r="M364" s="64"/>
      <c r="N364" s="64"/>
      <c r="O364" s="64"/>
      <c r="P364" s="4"/>
      <c r="Q364" s="4"/>
      <c r="R364" s="4"/>
      <c r="S364" s="4"/>
      <c r="T364" s="4"/>
      <c r="U364" s="4"/>
      <c r="V364" s="8">
        <f t="shared" si="12"/>
        <v>8.88485E+18</v>
      </c>
      <c r="W364" s="5" t="str">
        <f t="shared" si="7"/>
        <v>nops</v>
      </c>
      <c r="X364" s="67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</row>
    <row r="365" ht="19.5" customHeight="1">
      <c r="A365" s="56" t="s">
        <v>28</v>
      </c>
      <c r="B365" s="57">
        <v>346.0</v>
      </c>
      <c r="C365" s="89">
        <f t="shared" si="8"/>
        <v>1.74723E+19</v>
      </c>
      <c r="D365" s="89">
        <f t="shared" si="9"/>
        <v>1.94137E+18</v>
      </c>
      <c r="E365" s="59"/>
      <c r="F365" s="60" t="str">
        <f t="shared" si="1"/>
        <v>-</v>
      </c>
      <c r="G365" s="5" t="str">
        <f t="shared" si="2"/>
        <v>nops</v>
      </c>
      <c r="H365" s="94"/>
      <c r="I365" s="91" t="str">
        <f t="shared" si="10"/>
        <v/>
      </c>
      <c r="J365" s="91" t="str">
        <f t="shared" si="3"/>
        <v/>
      </c>
      <c r="K365" s="68" t="str">
        <f t="shared" si="11"/>
        <v/>
      </c>
      <c r="L365" s="64"/>
      <c r="M365" s="64"/>
      <c r="N365" s="64"/>
      <c r="O365" s="64"/>
      <c r="P365" s="4"/>
      <c r="Q365" s="4"/>
      <c r="R365" s="4"/>
      <c r="S365" s="4"/>
      <c r="T365" s="4"/>
      <c r="U365" s="4"/>
      <c r="V365" s="8">
        <f t="shared" si="12"/>
        <v>9.99546E+18</v>
      </c>
      <c r="W365" s="5" t="str">
        <f t="shared" si="7"/>
        <v>nops</v>
      </c>
      <c r="X365" s="67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</row>
    <row r="366" ht="19.5" customHeight="1">
      <c r="A366" s="56" t="s">
        <v>28</v>
      </c>
      <c r="B366" s="57">
        <v>347.0</v>
      </c>
      <c r="C366" s="89">
        <f t="shared" si="8"/>
        <v>1.96564E+19</v>
      </c>
      <c r="D366" s="89">
        <f t="shared" si="9"/>
        <v>2.18404E+18</v>
      </c>
      <c r="E366" s="59"/>
      <c r="F366" s="60" t="str">
        <f t="shared" si="1"/>
        <v>-</v>
      </c>
      <c r="G366" s="5" t="str">
        <f t="shared" si="2"/>
        <v>nops</v>
      </c>
      <c r="H366" s="94"/>
      <c r="I366" s="91" t="str">
        <f t="shared" si="10"/>
        <v/>
      </c>
      <c r="J366" s="91" t="str">
        <f t="shared" si="3"/>
        <v/>
      </c>
      <c r="K366" s="68" t="str">
        <f t="shared" si="11"/>
        <v/>
      </c>
      <c r="L366" s="64"/>
      <c r="M366" s="64"/>
      <c r="N366" s="64"/>
      <c r="O366" s="64"/>
      <c r="P366" s="4"/>
      <c r="Q366" s="4"/>
      <c r="R366" s="4"/>
      <c r="S366" s="4"/>
      <c r="T366" s="4"/>
      <c r="U366" s="4"/>
      <c r="V366" s="8">
        <f t="shared" si="12"/>
        <v>1.12449E+19</v>
      </c>
      <c r="W366" s="5" t="str">
        <f t="shared" si="7"/>
        <v>nops</v>
      </c>
      <c r="X366" s="67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</row>
    <row r="367" ht="19.5" customHeight="1">
      <c r="A367" s="56" t="s">
        <v>28</v>
      </c>
      <c r="B367" s="57">
        <v>348.0</v>
      </c>
      <c r="C367" s="89">
        <f t="shared" si="8"/>
        <v>2.21134E+19</v>
      </c>
      <c r="D367" s="89">
        <f t="shared" si="9"/>
        <v>2.45705E+18</v>
      </c>
      <c r="E367" s="59"/>
      <c r="F367" s="60" t="str">
        <f t="shared" si="1"/>
        <v>-</v>
      </c>
      <c r="G367" s="5" t="str">
        <f t="shared" si="2"/>
        <v>nops</v>
      </c>
      <c r="H367" s="94"/>
      <c r="I367" s="91" t="str">
        <f t="shared" si="10"/>
        <v/>
      </c>
      <c r="J367" s="91" t="str">
        <f t="shared" si="3"/>
        <v/>
      </c>
      <c r="K367" s="68" t="str">
        <f t="shared" si="11"/>
        <v/>
      </c>
      <c r="L367" s="64"/>
      <c r="M367" s="64"/>
      <c r="N367" s="64"/>
      <c r="O367" s="64"/>
      <c r="P367" s="4"/>
      <c r="Q367" s="4"/>
      <c r="R367" s="4"/>
      <c r="S367" s="4"/>
      <c r="T367" s="4"/>
      <c r="U367" s="4"/>
      <c r="V367" s="8">
        <f t="shared" si="12"/>
        <v>1.26505E+19</v>
      </c>
      <c r="W367" s="5" t="str">
        <f t="shared" si="7"/>
        <v>nops</v>
      </c>
      <c r="X367" s="67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</row>
    <row r="368" ht="19.5" customHeight="1">
      <c r="A368" s="56" t="s">
        <v>28</v>
      </c>
      <c r="B368" s="57">
        <v>349.0</v>
      </c>
      <c r="C368" s="89">
        <f t="shared" si="8"/>
        <v>2.48776E+19</v>
      </c>
      <c r="D368" s="89">
        <f t="shared" si="9"/>
        <v>2.76418E+18</v>
      </c>
      <c r="E368" s="59"/>
      <c r="F368" s="60" t="str">
        <f t="shared" si="1"/>
        <v>-</v>
      </c>
      <c r="G368" s="5" t="str">
        <f t="shared" si="2"/>
        <v>nops</v>
      </c>
      <c r="H368" s="94"/>
      <c r="I368" s="91" t="str">
        <f t="shared" si="10"/>
        <v/>
      </c>
      <c r="J368" s="91" t="str">
        <f t="shared" si="3"/>
        <v/>
      </c>
      <c r="K368" s="68" t="str">
        <f t="shared" si="11"/>
        <v/>
      </c>
      <c r="L368" s="64"/>
      <c r="M368" s="64"/>
      <c r="N368" s="64"/>
      <c r="O368" s="64"/>
      <c r="P368" s="4"/>
      <c r="Q368" s="4"/>
      <c r="R368" s="4"/>
      <c r="S368" s="4"/>
      <c r="T368" s="4"/>
      <c r="U368" s="4"/>
      <c r="V368" s="8">
        <f t="shared" si="12"/>
        <v>1.42318E+19</v>
      </c>
      <c r="W368" s="5" t="str">
        <f t="shared" si="7"/>
        <v>nops</v>
      </c>
      <c r="X368" s="67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</row>
    <row r="369" ht="19.5" customHeight="1">
      <c r="A369" s="56" t="s">
        <v>28</v>
      </c>
      <c r="B369" s="57">
        <v>350.0</v>
      </c>
      <c r="C369" s="89">
        <f t="shared" si="8"/>
        <v>2.79873E+19</v>
      </c>
      <c r="D369" s="89">
        <f t="shared" si="9"/>
        <v>3.1097E+18</v>
      </c>
      <c r="E369" s="59"/>
      <c r="F369" s="60" t="str">
        <f t="shared" si="1"/>
        <v>-</v>
      </c>
      <c r="G369" s="5" t="str">
        <f t="shared" si="2"/>
        <v>nops</v>
      </c>
      <c r="H369" s="94"/>
      <c r="I369" s="91" t="str">
        <f t="shared" si="10"/>
        <v/>
      </c>
      <c r="J369" s="91" t="str">
        <f t="shared" si="3"/>
        <v/>
      </c>
      <c r="K369" s="68" t="str">
        <f t="shared" si="11"/>
        <v/>
      </c>
      <c r="L369" s="64"/>
      <c r="M369" s="64"/>
      <c r="N369" s="64"/>
      <c r="O369" s="64"/>
      <c r="P369" s="4"/>
      <c r="Q369" s="4"/>
      <c r="R369" s="4"/>
      <c r="S369" s="4"/>
      <c r="T369" s="4"/>
      <c r="U369" s="4"/>
      <c r="V369" s="8">
        <f t="shared" si="12"/>
        <v>1.60108E+19</v>
      </c>
      <c r="W369" s="5" t="str">
        <f t="shared" si="7"/>
        <v>nops</v>
      </c>
      <c r="X369" s="67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</row>
    <row r="370" ht="19.5" customHeight="1">
      <c r="A370" s="56" t="s">
        <v>28</v>
      </c>
      <c r="B370" s="57">
        <v>351.0</v>
      </c>
      <c r="C370" s="89">
        <f t="shared" si="8"/>
        <v>3.14857E+19</v>
      </c>
      <c r="D370" s="89">
        <f t="shared" si="9"/>
        <v>3.49841E+18</v>
      </c>
      <c r="E370" s="59"/>
      <c r="F370" s="60" t="str">
        <f t="shared" si="1"/>
        <v>-</v>
      </c>
      <c r="G370" s="5" t="str">
        <f t="shared" si="2"/>
        <v>nops</v>
      </c>
      <c r="H370" s="94"/>
      <c r="I370" s="91" t="str">
        <f t="shared" si="10"/>
        <v/>
      </c>
      <c r="J370" s="91" t="str">
        <f t="shared" si="3"/>
        <v/>
      </c>
      <c r="K370" s="68" t="str">
        <f t="shared" si="11"/>
        <v/>
      </c>
      <c r="L370" s="64"/>
      <c r="M370" s="64"/>
      <c r="N370" s="64"/>
      <c r="O370" s="64"/>
      <c r="P370" s="4"/>
      <c r="Q370" s="4"/>
      <c r="R370" s="4"/>
      <c r="S370" s="4"/>
      <c r="T370" s="4"/>
      <c r="U370" s="4"/>
      <c r="V370" s="8">
        <f t="shared" si="12"/>
        <v>1.80121E+19</v>
      </c>
      <c r="W370" s="5" t="str">
        <f t="shared" si="7"/>
        <v>nops</v>
      </c>
      <c r="X370" s="67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</row>
    <row r="371" ht="19.5" customHeight="1">
      <c r="A371" s="56" t="s">
        <v>28</v>
      </c>
      <c r="B371" s="57">
        <v>352.0</v>
      </c>
      <c r="C371" s="89">
        <f t="shared" si="8"/>
        <v>3.54214E+19</v>
      </c>
      <c r="D371" s="89">
        <f t="shared" si="9"/>
        <v>3.93571E+18</v>
      </c>
      <c r="E371" s="59"/>
      <c r="F371" s="60" t="str">
        <f t="shared" si="1"/>
        <v>-</v>
      </c>
      <c r="G371" s="5" t="str">
        <f t="shared" si="2"/>
        <v>nops</v>
      </c>
      <c r="H371" s="94"/>
      <c r="I371" s="91" t="str">
        <f t="shared" si="10"/>
        <v/>
      </c>
      <c r="J371" s="91" t="str">
        <f t="shared" si="3"/>
        <v/>
      </c>
      <c r="K371" s="68" t="str">
        <f t="shared" si="11"/>
        <v/>
      </c>
      <c r="L371" s="64"/>
      <c r="M371" s="64"/>
      <c r="N371" s="64"/>
      <c r="O371" s="64"/>
      <c r="P371" s="4"/>
      <c r="Q371" s="4"/>
      <c r="R371" s="4"/>
      <c r="S371" s="4"/>
      <c r="T371" s="4"/>
      <c r="U371" s="4"/>
      <c r="V371" s="8">
        <f t="shared" si="12"/>
        <v>2.02637E+19</v>
      </c>
      <c r="W371" s="5" t="str">
        <f t="shared" si="7"/>
        <v>nops</v>
      </c>
      <c r="X371" s="67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</row>
    <row r="372" ht="19.5" customHeight="1">
      <c r="A372" s="56" t="s">
        <v>28</v>
      </c>
      <c r="B372" s="57">
        <v>353.0</v>
      </c>
      <c r="C372" s="89">
        <f t="shared" si="8"/>
        <v>3.98491E+19</v>
      </c>
      <c r="D372" s="89">
        <f t="shared" si="9"/>
        <v>4.42768E+18</v>
      </c>
      <c r="E372" s="59"/>
      <c r="F372" s="60" t="str">
        <f t="shared" si="1"/>
        <v>-</v>
      </c>
      <c r="G372" s="5" t="str">
        <f t="shared" si="2"/>
        <v>nops</v>
      </c>
      <c r="H372" s="94"/>
      <c r="I372" s="91" t="str">
        <f t="shared" si="10"/>
        <v/>
      </c>
      <c r="J372" s="91" t="str">
        <f t="shared" si="3"/>
        <v/>
      </c>
      <c r="K372" s="68" t="str">
        <f t="shared" si="11"/>
        <v/>
      </c>
      <c r="L372" s="64"/>
      <c r="M372" s="64"/>
      <c r="N372" s="64"/>
      <c r="O372" s="64"/>
      <c r="P372" s="4"/>
      <c r="Q372" s="4"/>
      <c r="R372" s="4"/>
      <c r="S372" s="4"/>
      <c r="T372" s="4"/>
      <c r="U372" s="4"/>
      <c r="V372" s="8">
        <f t="shared" si="12"/>
        <v>2.27966E+19</v>
      </c>
      <c r="W372" s="5" t="str">
        <f t="shared" si="7"/>
        <v>nops</v>
      </c>
      <c r="X372" s="67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</row>
    <row r="373" ht="19.5" customHeight="1">
      <c r="A373" s="56" t="s">
        <v>28</v>
      </c>
      <c r="B373" s="57">
        <v>354.0</v>
      </c>
      <c r="C373" s="89">
        <f t="shared" si="8"/>
        <v>4.48302E+19</v>
      </c>
      <c r="D373" s="89">
        <f t="shared" si="9"/>
        <v>4.98114E+18</v>
      </c>
      <c r="E373" s="59"/>
      <c r="F373" s="60" t="str">
        <f t="shared" si="1"/>
        <v>-</v>
      </c>
      <c r="G373" s="5" t="str">
        <f t="shared" si="2"/>
        <v>nops</v>
      </c>
      <c r="H373" s="94"/>
      <c r="I373" s="91" t="str">
        <f t="shared" si="10"/>
        <v/>
      </c>
      <c r="J373" s="91" t="str">
        <f t="shared" si="3"/>
        <v/>
      </c>
      <c r="K373" s="68" t="str">
        <f t="shared" si="11"/>
        <v/>
      </c>
      <c r="L373" s="64"/>
      <c r="M373" s="64"/>
      <c r="N373" s="64"/>
      <c r="O373" s="64"/>
      <c r="P373" s="4"/>
      <c r="Q373" s="4"/>
      <c r="R373" s="4"/>
      <c r="S373" s="4"/>
      <c r="T373" s="4"/>
      <c r="U373" s="4"/>
      <c r="V373" s="8">
        <f t="shared" si="12"/>
        <v>2.56462E+19</v>
      </c>
      <c r="W373" s="5" t="str">
        <f t="shared" si="7"/>
        <v>nops</v>
      </c>
      <c r="X373" s="67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</row>
    <row r="374" ht="19.5" customHeight="1">
      <c r="A374" s="56" t="s">
        <v>28</v>
      </c>
      <c r="B374" s="57">
        <v>355.0</v>
      </c>
      <c r="C374" s="89">
        <f t="shared" si="8"/>
        <v>5.0434E+19</v>
      </c>
      <c r="D374" s="89">
        <f t="shared" si="9"/>
        <v>5.60378E+18</v>
      </c>
      <c r="E374" s="59"/>
      <c r="F374" s="60" t="str">
        <f t="shared" si="1"/>
        <v>-</v>
      </c>
      <c r="G374" s="5" t="str">
        <f t="shared" si="2"/>
        <v>nops</v>
      </c>
      <c r="H374" s="94"/>
      <c r="I374" s="91" t="str">
        <f t="shared" si="10"/>
        <v/>
      </c>
      <c r="J374" s="91" t="str">
        <f t="shared" si="3"/>
        <v/>
      </c>
      <c r="K374" s="68" t="str">
        <f t="shared" si="11"/>
        <v/>
      </c>
      <c r="L374" s="64"/>
      <c r="M374" s="64"/>
      <c r="N374" s="64"/>
      <c r="O374" s="64"/>
      <c r="P374" s="4"/>
      <c r="Q374" s="4"/>
      <c r="R374" s="4"/>
      <c r="S374" s="4"/>
      <c r="T374" s="4"/>
      <c r="U374" s="4"/>
      <c r="V374" s="8">
        <f t="shared" si="12"/>
        <v>2.8852E+19</v>
      </c>
      <c r="W374" s="5" t="str">
        <f t="shared" si="7"/>
        <v>nops</v>
      </c>
      <c r="X374" s="67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</row>
    <row r="375" ht="19.5" customHeight="1">
      <c r="A375" s="56" t="s">
        <v>28</v>
      </c>
      <c r="B375" s="57">
        <v>356.0</v>
      </c>
      <c r="C375" s="89">
        <f t="shared" si="8"/>
        <v>5.67382E+19</v>
      </c>
      <c r="D375" s="89">
        <f t="shared" si="9"/>
        <v>6.30425E+18</v>
      </c>
      <c r="E375" s="59"/>
      <c r="F375" s="60" t="str">
        <f t="shared" si="1"/>
        <v>-</v>
      </c>
      <c r="G375" s="5" t="str">
        <f t="shared" si="2"/>
        <v>nops</v>
      </c>
      <c r="H375" s="94"/>
      <c r="I375" s="91" t="str">
        <f t="shared" si="10"/>
        <v/>
      </c>
      <c r="J375" s="91" t="str">
        <f t="shared" si="3"/>
        <v/>
      </c>
      <c r="K375" s="68" t="str">
        <f t="shared" si="11"/>
        <v/>
      </c>
      <c r="L375" s="64"/>
      <c r="M375" s="64"/>
      <c r="N375" s="64"/>
      <c r="O375" s="64"/>
      <c r="P375" s="4"/>
      <c r="Q375" s="4"/>
      <c r="R375" s="4"/>
      <c r="S375" s="4"/>
      <c r="T375" s="4"/>
      <c r="U375" s="4"/>
      <c r="V375" s="8">
        <f t="shared" si="12"/>
        <v>3.24585E+19</v>
      </c>
      <c r="W375" s="5" t="str">
        <f t="shared" si="7"/>
        <v>nops</v>
      </c>
      <c r="X375" s="67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</row>
    <row r="376" ht="19.5" customHeight="1">
      <c r="A376" s="56" t="s">
        <v>28</v>
      </c>
      <c r="B376" s="57">
        <v>357.0</v>
      </c>
      <c r="C376" s="89">
        <f t="shared" si="8"/>
        <v>6.38305E+19</v>
      </c>
      <c r="D376" s="89">
        <f t="shared" si="9"/>
        <v>7.09228E+18</v>
      </c>
      <c r="E376" s="59"/>
      <c r="F376" s="60" t="str">
        <f t="shared" si="1"/>
        <v>-</v>
      </c>
      <c r="G376" s="5" t="str">
        <f t="shared" si="2"/>
        <v>nops</v>
      </c>
      <c r="H376" s="94"/>
      <c r="I376" s="91" t="str">
        <f t="shared" si="10"/>
        <v/>
      </c>
      <c r="J376" s="91" t="str">
        <f t="shared" si="3"/>
        <v/>
      </c>
      <c r="K376" s="68" t="str">
        <f t="shared" si="11"/>
        <v/>
      </c>
      <c r="L376" s="64"/>
      <c r="M376" s="64"/>
      <c r="N376" s="64"/>
      <c r="O376" s="64"/>
      <c r="P376" s="4"/>
      <c r="Q376" s="4"/>
      <c r="R376" s="4"/>
      <c r="S376" s="4"/>
      <c r="T376" s="4"/>
      <c r="U376" s="4"/>
      <c r="V376" s="8">
        <f t="shared" si="12"/>
        <v>3.65158E+19</v>
      </c>
      <c r="W376" s="5" t="str">
        <f t="shared" si="7"/>
        <v>nops</v>
      </c>
      <c r="X376" s="67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</row>
    <row r="377" ht="19.5" customHeight="1">
      <c r="A377" s="56" t="s">
        <v>28</v>
      </c>
      <c r="B377" s="57">
        <v>358.0</v>
      </c>
      <c r="C377" s="89">
        <f t="shared" si="8"/>
        <v>7.18093E+19</v>
      </c>
      <c r="D377" s="89">
        <f t="shared" si="9"/>
        <v>7.97882E+18</v>
      </c>
      <c r="E377" s="59"/>
      <c r="F377" s="60" t="str">
        <f t="shared" si="1"/>
        <v>-</v>
      </c>
      <c r="G377" s="5" t="str">
        <f t="shared" si="2"/>
        <v>nops</v>
      </c>
      <c r="H377" s="94"/>
      <c r="I377" s="91" t="str">
        <f t="shared" si="10"/>
        <v/>
      </c>
      <c r="J377" s="91" t="str">
        <f t="shared" si="3"/>
        <v/>
      </c>
      <c r="K377" s="68" t="str">
        <f t="shared" si="11"/>
        <v/>
      </c>
      <c r="L377" s="64"/>
      <c r="M377" s="64"/>
      <c r="N377" s="64"/>
      <c r="O377" s="64"/>
      <c r="P377" s="4"/>
      <c r="Q377" s="4"/>
      <c r="R377" s="4"/>
      <c r="S377" s="4"/>
      <c r="T377" s="4"/>
      <c r="U377" s="4"/>
      <c r="V377" s="8">
        <f t="shared" si="12"/>
        <v>4.10802E+19</v>
      </c>
      <c r="W377" s="5" t="str">
        <f t="shared" si="7"/>
        <v>nops</v>
      </c>
      <c r="X377" s="67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</row>
    <row r="378" ht="19.5" customHeight="1">
      <c r="A378" s="56" t="s">
        <v>28</v>
      </c>
      <c r="B378" s="57">
        <v>359.0</v>
      </c>
      <c r="C378" s="89">
        <f t="shared" si="8"/>
        <v>8.07855E+19</v>
      </c>
      <c r="D378" s="89">
        <f t="shared" si="9"/>
        <v>8.97617E+18</v>
      </c>
      <c r="E378" s="59"/>
      <c r="F378" s="60" t="str">
        <f t="shared" si="1"/>
        <v>-</v>
      </c>
      <c r="G378" s="5" t="str">
        <f t="shared" si="2"/>
        <v>nops</v>
      </c>
      <c r="H378" s="94"/>
      <c r="I378" s="91" t="str">
        <f t="shared" si="10"/>
        <v/>
      </c>
      <c r="J378" s="91" t="str">
        <f t="shared" si="3"/>
        <v/>
      </c>
      <c r="K378" s="68" t="str">
        <f t="shared" si="11"/>
        <v/>
      </c>
      <c r="L378" s="64"/>
      <c r="M378" s="64"/>
      <c r="N378" s="64"/>
      <c r="O378" s="64"/>
      <c r="P378" s="4"/>
      <c r="Q378" s="4"/>
      <c r="R378" s="4"/>
      <c r="S378" s="4"/>
      <c r="T378" s="4"/>
      <c r="U378" s="4"/>
      <c r="V378" s="8">
        <f t="shared" si="12"/>
        <v>4.62153E+19</v>
      </c>
      <c r="W378" s="5" t="str">
        <f t="shared" si="7"/>
        <v>nops</v>
      </c>
      <c r="X378" s="67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</row>
    <row r="379" ht="19.5" customHeight="1">
      <c r="A379" s="56" t="s">
        <v>28</v>
      </c>
      <c r="B379" s="57">
        <v>360.0</v>
      </c>
      <c r="C379" s="89">
        <f t="shared" si="8"/>
        <v>9.08837E+19</v>
      </c>
      <c r="D379" s="89">
        <f t="shared" si="9"/>
        <v>1.00982E+19</v>
      </c>
      <c r="E379" s="59"/>
      <c r="F379" s="60" t="str">
        <f t="shared" si="1"/>
        <v>-</v>
      </c>
      <c r="G379" s="5" t="str">
        <f t="shared" si="2"/>
        <v>nops</v>
      </c>
      <c r="H379" s="94"/>
      <c r="I379" s="91" t="str">
        <f t="shared" si="10"/>
        <v/>
      </c>
      <c r="J379" s="91" t="str">
        <f t="shared" si="3"/>
        <v/>
      </c>
      <c r="K379" s="68" t="str">
        <f t="shared" si="11"/>
        <v/>
      </c>
      <c r="L379" s="64"/>
      <c r="M379" s="64"/>
      <c r="N379" s="64"/>
      <c r="O379" s="64"/>
      <c r="P379" s="4"/>
      <c r="Q379" s="4"/>
      <c r="R379" s="4"/>
      <c r="S379" s="4"/>
      <c r="T379" s="4"/>
      <c r="U379" s="4"/>
      <c r="V379" s="8">
        <f t="shared" si="12"/>
        <v>5.19922E+19</v>
      </c>
      <c r="W379" s="5" t="str">
        <f t="shared" si="7"/>
        <v>nops</v>
      </c>
      <c r="X379" s="67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</row>
    <row r="380" ht="19.5" customHeight="1">
      <c r="A380" s="56" t="s">
        <v>28</v>
      </c>
      <c r="B380" s="57">
        <v>361.0</v>
      </c>
      <c r="C380" s="89">
        <f t="shared" si="8"/>
        <v>1.02244E+20</v>
      </c>
      <c r="D380" s="89">
        <f t="shared" si="9"/>
        <v>1.13605E+19</v>
      </c>
      <c r="E380" s="59"/>
      <c r="F380" s="60" t="str">
        <f t="shared" si="1"/>
        <v>-</v>
      </c>
      <c r="G380" s="5" t="str">
        <f t="shared" si="2"/>
        <v>nops</v>
      </c>
      <c r="H380" s="94"/>
      <c r="I380" s="91" t="str">
        <f t="shared" si="10"/>
        <v/>
      </c>
      <c r="J380" s="91" t="str">
        <f t="shared" si="3"/>
        <v/>
      </c>
      <c r="K380" s="68" t="str">
        <f t="shared" si="11"/>
        <v/>
      </c>
      <c r="L380" s="64"/>
      <c r="M380" s="64"/>
      <c r="N380" s="64"/>
      <c r="O380" s="64"/>
      <c r="P380" s="4"/>
      <c r="Q380" s="4"/>
      <c r="R380" s="4"/>
      <c r="S380" s="4"/>
      <c r="T380" s="4"/>
      <c r="U380" s="4"/>
      <c r="V380" s="8">
        <f t="shared" si="12"/>
        <v>5.84912E+19</v>
      </c>
      <c r="W380" s="5" t="str">
        <f t="shared" si="7"/>
        <v>nops</v>
      </c>
      <c r="X380" s="67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</row>
    <row r="381" ht="19.5" customHeight="1">
      <c r="A381" s="56" t="s">
        <v>28</v>
      </c>
      <c r="B381" s="57">
        <v>362.0</v>
      </c>
      <c r="C381" s="89">
        <f t="shared" si="8"/>
        <v>1.15025E+20</v>
      </c>
      <c r="D381" s="89">
        <f t="shared" si="9"/>
        <v>1.27805E+19</v>
      </c>
      <c r="E381" s="59"/>
      <c r="F381" s="60" t="str">
        <f t="shared" si="1"/>
        <v>-</v>
      </c>
      <c r="G381" s="5" t="str">
        <f t="shared" si="2"/>
        <v>nops</v>
      </c>
      <c r="H381" s="94"/>
      <c r="I381" s="91" t="str">
        <f t="shared" si="10"/>
        <v/>
      </c>
      <c r="J381" s="91" t="str">
        <f t="shared" si="3"/>
        <v/>
      </c>
      <c r="K381" s="68" t="str">
        <f t="shared" si="11"/>
        <v/>
      </c>
      <c r="L381" s="64"/>
      <c r="M381" s="64"/>
      <c r="N381" s="64"/>
      <c r="O381" s="64"/>
      <c r="P381" s="4"/>
      <c r="Q381" s="4"/>
      <c r="R381" s="4"/>
      <c r="S381" s="4"/>
      <c r="T381" s="4"/>
      <c r="U381" s="4"/>
      <c r="V381" s="8">
        <f t="shared" si="12"/>
        <v>6.58026E+19</v>
      </c>
      <c r="W381" s="5" t="str">
        <f t="shared" si="7"/>
        <v>nops</v>
      </c>
      <c r="X381" s="67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</row>
    <row r="382" ht="19.5" customHeight="1">
      <c r="A382" s="56" t="s">
        <v>28</v>
      </c>
      <c r="B382" s="57">
        <v>363.0</v>
      </c>
      <c r="C382" s="89">
        <f t="shared" si="8"/>
        <v>1.29403E+20</v>
      </c>
      <c r="D382" s="89">
        <f t="shared" si="9"/>
        <v>1.43781E+19</v>
      </c>
      <c r="E382" s="59"/>
      <c r="F382" s="60" t="str">
        <f t="shared" si="1"/>
        <v>-</v>
      </c>
      <c r="G382" s="5" t="str">
        <f t="shared" si="2"/>
        <v>nops</v>
      </c>
      <c r="H382" s="94"/>
      <c r="I382" s="91" t="str">
        <f t="shared" si="10"/>
        <v/>
      </c>
      <c r="J382" s="91" t="str">
        <f t="shared" si="3"/>
        <v/>
      </c>
      <c r="K382" s="68" t="str">
        <f t="shared" si="11"/>
        <v/>
      </c>
      <c r="L382" s="64"/>
      <c r="M382" s="64"/>
      <c r="N382" s="64"/>
      <c r="O382" s="64"/>
      <c r="P382" s="4"/>
      <c r="Q382" s="4"/>
      <c r="R382" s="4"/>
      <c r="S382" s="4"/>
      <c r="T382" s="4"/>
      <c r="U382" s="4"/>
      <c r="V382" s="8">
        <f t="shared" si="12"/>
        <v>7.40279E+19</v>
      </c>
      <c r="W382" s="5" t="str">
        <f t="shared" si="7"/>
        <v>nops</v>
      </c>
      <c r="X382" s="67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</row>
    <row r="383" ht="19.5" customHeight="1">
      <c r="A383" s="56" t="s">
        <v>28</v>
      </c>
      <c r="B383" s="57">
        <v>364.0</v>
      </c>
      <c r="C383" s="89">
        <f t="shared" si="8"/>
        <v>1.45578E+20</v>
      </c>
      <c r="D383" s="89">
        <f t="shared" si="9"/>
        <v>1.61753E+19</v>
      </c>
      <c r="E383" s="59"/>
      <c r="F383" s="60" t="str">
        <f t="shared" si="1"/>
        <v>-</v>
      </c>
      <c r="G383" s="5" t="str">
        <f t="shared" si="2"/>
        <v>nops</v>
      </c>
      <c r="H383" s="94"/>
      <c r="I383" s="91" t="str">
        <f t="shared" si="10"/>
        <v/>
      </c>
      <c r="J383" s="91" t="str">
        <f t="shared" si="3"/>
        <v/>
      </c>
      <c r="K383" s="68" t="str">
        <f t="shared" si="11"/>
        <v/>
      </c>
      <c r="L383" s="64"/>
      <c r="M383" s="64"/>
      <c r="N383" s="64"/>
      <c r="O383" s="64"/>
      <c r="P383" s="4"/>
      <c r="Q383" s="4"/>
      <c r="R383" s="4"/>
      <c r="S383" s="4"/>
      <c r="T383" s="4"/>
      <c r="U383" s="4"/>
      <c r="V383" s="8">
        <f t="shared" si="12"/>
        <v>8.32814E+19</v>
      </c>
      <c r="W383" s="5" t="str">
        <f t="shared" si="7"/>
        <v>nops</v>
      </c>
      <c r="X383" s="67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</row>
    <row r="384" ht="19.5" customHeight="1">
      <c r="A384" s="56" t="s">
        <v>28</v>
      </c>
      <c r="B384" s="57">
        <v>365.0</v>
      </c>
      <c r="C384" s="89">
        <f t="shared" si="8"/>
        <v>1.63775E+20</v>
      </c>
      <c r="D384" s="89">
        <f t="shared" si="9"/>
        <v>1.81973E+19</v>
      </c>
      <c r="E384" s="59"/>
      <c r="F384" s="60" t="str">
        <f t="shared" si="1"/>
        <v>-</v>
      </c>
      <c r="G384" s="5" t="str">
        <f t="shared" si="2"/>
        <v>nops</v>
      </c>
      <c r="H384" s="94"/>
      <c r="I384" s="91" t="str">
        <f t="shared" si="10"/>
        <v/>
      </c>
      <c r="J384" s="91" t="str">
        <f t="shared" si="3"/>
        <v/>
      </c>
      <c r="K384" s="68" t="str">
        <f t="shared" si="11"/>
        <v/>
      </c>
      <c r="L384" s="64"/>
      <c r="M384" s="64"/>
      <c r="N384" s="64"/>
      <c r="O384" s="64"/>
      <c r="P384" s="4"/>
      <c r="Q384" s="4"/>
      <c r="R384" s="4"/>
      <c r="S384" s="4"/>
      <c r="T384" s="4"/>
      <c r="U384" s="4"/>
      <c r="V384" s="8">
        <f t="shared" si="12"/>
        <v>9.36916E+19</v>
      </c>
      <c r="W384" s="5" t="str">
        <f t="shared" si="7"/>
        <v>nops</v>
      </c>
      <c r="X384" s="67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</row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Q21:S21"/>
    <mergeCell ref="R22:R23"/>
    <mergeCell ref="S22:S23"/>
    <mergeCell ref="Q25:S25"/>
    <mergeCell ref="G14:J14"/>
    <mergeCell ref="B18:B19"/>
    <mergeCell ref="C18:D18"/>
    <mergeCell ref="E18:F18"/>
    <mergeCell ref="H18:K18"/>
    <mergeCell ref="M18:O18"/>
    <mergeCell ref="Q18:S18"/>
  </mergeCells>
  <conditionalFormatting sqref="K17:L17 K20:L384">
    <cfRule type="cellIs" dxfId="0" priority="1" operator="greaterThanOrEqual">
      <formula>0.01</formula>
    </cfRule>
  </conditionalFormatting>
  <conditionalFormatting sqref="I20:I384">
    <cfRule type="cellIs" dxfId="0" priority="2" operator="greaterThanOrEqual">
      <formula>0.01</formula>
    </cfRule>
  </conditionalFormatting>
  <conditionalFormatting sqref="J20:J384">
    <cfRule type="cellIs" dxfId="0" priority="3" operator="greaterThanOrEqual">
      <formula>0.01</formula>
    </cfRule>
  </conditionalFormatting>
  <conditionalFormatting sqref="C20">
    <cfRule type="expression" dxfId="1" priority="4">
      <formula>AND(COUNTBLANK(H20)=1,COUNTBLANK(H19)=0)</formula>
    </cfRule>
  </conditionalFormatting>
  <conditionalFormatting sqref="C21:C384">
    <cfRule type="expression" dxfId="1" priority="5">
      <formula>AND(COUNTBLANK(H21)=1,COUNTBLANK(H20)=0)</formula>
    </cfRule>
  </conditionalFormatting>
  <conditionalFormatting sqref="B20:B384">
    <cfRule type="expression" dxfId="0" priority="6">
      <formula>AND(COUNTBLANK(H20)=1,COUNTBLANK(H19)=0)</formula>
    </cfRule>
  </conditionalFormatting>
  <conditionalFormatting sqref="A20:A384">
    <cfRule type="expression" dxfId="0" priority="7">
      <formula>AND(COUNTBLANK(H20)=1,COUNTBLANK(H19)=0)</formula>
    </cfRule>
  </conditionalFormatting>
  <conditionalFormatting sqref="D20">
    <cfRule type="expression" dxfId="1" priority="8">
      <formula>AND(COUNTBLANK(H20)=1,COUNTBLANK(H19)=0)</formula>
    </cfRule>
  </conditionalFormatting>
  <conditionalFormatting sqref="D21:D384">
    <cfRule type="expression" dxfId="1" priority="9">
      <formula>AND(COUNTBLANK(H21)=1,COUNTBLANK(H20)=0)</formula>
    </cfRule>
  </conditionalFormatting>
  <conditionalFormatting sqref="Q22:Q23">
    <cfRule type="cellIs" dxfId="2" priority="10" operator="lessThan">
      <formula>0</formula>
    </cfRule>
  </conditionalFormatting>
  <conditionalFormatting sqref="V20">
    <cfRule type="expression" dxfId="1" priority="11">
      <formula>AND(COUNTBLANK(AA20)=1,COUNTBLANK(AA19)=0)</formula>
    </cfRule>
  </conditionalFormatting>
  <conditionalFormatting sqref="V21:V384">
    <cfRule type="expression" dxfId="1" priority="12">
      <formula>AND(COUNTBLANK(AA21)=1,COUNTBLANK(AA20)=0)</formula>
    </cfRule>
  </conditionalFormatting>
  <conditionalFormatting sqref="Q26">
    <cfRule type="cellIs" dxfId="2" priority="13" operator="lessThan">
      <formula>0</formula>
    </cfRule>
  </conditionalFormatting>
  <conditionalFormatting sqref="M17:O17 M84:O384">
    <cfRule type="cellIs" dxfId="0" priority="14" operator="greaterThanOrEqual">
      <formula>0.01</formula>
    </cfRule>
  </conditionalFormatting>
  <conditionalFormatting sqref="M20:O83">
    <cfRule type="cellIs" dxfId="0" priority="15" operator="greaterThanOrEqual">
      <formula>0.01</formula>
    </cfRule>
  </conditionalFormatting>
  <printOptions/>
  <pageMargins bottom="0.787401575" footer="0.0" header="0.0" left="0.511811024" right="0.511811024" top="0.7874015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2.38"/>
    <col customWidth="1" min="2" max="2" width="9.63"/>
    <col customWidth="1" min="3" max="5" width="3.88"/>
    <col customWidth="1" min="6" max="24" width="4.88"/>
    <col customWidth="1" min="25" max="26" width="14.38"/>
  </cols>
  <sheetData>
    <row r="1" ht="14.25" customHeight="1">
      <c r="A1" s="95" t="s">
        <v>34</v>
      </c>
      <c r="B1" s="96"/>
      <c r="C1" s="97" t="s">
        <v>35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9"/>
    </row>
    <row r="2" ht="14.25" customHeight="1">
      <c r="A2" s="100"/>
      <c r="B2" s="101" t="s">
        <v>36</v>
      </c>
      <c r="C2" s="102">
        <v>44019.0</v>
      </c>
      <c r="D2" s="102">
        <v>44020.0</v>
      </c>
      <c r="E2" s="102">
        <v>44021.0</v>
      </c>
      <c r="F2" s="102">
        <v>44022.0</v>
      </c>
      <c r="G2" s="102">
        <v>44023.0</v>
      </c>
      <c r="H2" s="102">
        <v>44024.0</v>
      </c>
      <c r="I2" s="102">
        <v>44025.0</v>
      </c>
      <c r="J2" s="102">
        <v>44026.0</v>
      </c>
      <c r="K2" s="102">
        <v>44027.0</v>
      </c>
      <c r="L2" s="102">
        <v>44028.0</v>
      </c>
      <c r="M2" s="102">
        <v>44029.0</v>
      </c>
      <c r="N2" s="102">
        <v>44030.0</v>
      </c>
      <c r="O2" s="102">
        <v>44031.0</v>
      </c>
      <c r="P2" s="102">
        <v>44032.0</v>
      </c>
      <c r="Q2" s="102">
        <v>44033.0</v>
      </c>
      <c r="R2" s="103"/>
      <c r="S2" s="103"/>
      <c r="T2" s="103"/>
      <c r="U2" s="103"/>
      <c r="V2" s="103"/>
      <c r="W2" s="103"/>
      <c r="X2" s="103"/>
    </row>
    <row r="3" ht="14.25" customHeight="1">
      <c r="A3" s="104" t="s">
        <v>37</v>
      </c>
      <c r="B3" s="105" t="s">
        <v>38</v>
      </c>
      <c r="C3" s="106" t="s">
        <v>39</v>
      </c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6" t="s">
        <v>39</v>
      </c>
      <c r="Q3" s="106" t="s">
        <v>39</v>
      </c>
    </row>
    <row r="4" ht="14.25" customHeight="1">
      <c r="A4" s="108" t="s">
        <v>40</v>
      </c>
      <c r="B4" s="96" t="s">
        <v>41</v>
      </c>
      <c r="C4" s="106" t="s">
        <v>39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6" t="s">
        <v>39</v>
      </c>
      <c r="Q4" s="107"/>
    </row>
    <row r="5" ht="14.25" customHeight="1">
      <c r="A5" s="109" t="s">
        <v>42</v>
      </c>
      <c r="B5" s="105" t="s">
        <v>43</v>
      </c>
      <c r="C5" s="106" t="s">
        <v>39</v>
      </c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6" t="s">
        <v>39</v>
      </c>
      <c r="Q5" s="107"/>
    </row>
    <row r="6" ht="14.25" customHeight="1">
      <c r="A6" s="108" t="s">
        <v>44</v>
      </c>
      <c r="B6" s="96" t="s">
        <v>45</v>
      </c>
      <c r="C6" s="106" t="s">
        <v>39</v>
      </c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6" t="s">
        <v>39</v>
      </c>
      <c r="Q6" s="107"/>
    </row>
    <row r="7" ht="14.25" customHeight="1">
      <c r="A7" s="104" t="s">
        <v>46</v>
      </c>
      <c r="B7" s="105" t="s">
        <v>47</v>
      </c>
      <c r="C7" s="106" t="s">
        <v>39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6" t="s">
        <v>39</v>
      </c>
      <c r="Q7" s="107"/>
    </row>
    <row r="8" ht="14.25" customHeight="1">
      <c r="A8" s="108" t="s">
        <v>48</v>
      </c>
      <c r="B8" s="96" t="s">
        <v>49</v>
      </c>
      <c r="C8" s="107"/>
      <c r="D8" s="106" t="s">
        <v>39</v>
      </c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6" t="s">
        <v>39</v>
      </c>
      <c r="P8" s="107"/>
      <c r="Q8" s="107"/>
    </row>
    <row r="9" ht="14.25" customHeight="1">
      <c r="A9" s="104" t="s">
        <v>50</v>
      </c>
      <c r="B9" s="105" t="s">
        <v>51</v>
      </c>
      <c r="C9" s="107"/>
      <c r="D9" s="106" t="s">
        <v>39</v>
      </c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6" t="s">
        <v>39</v>
      </c>
      <c r="P9" s="107"/>
      <c r="Q9" s="107"/>
    </row>
    <row r="10" ht="14.25" customHeight="1">
      <c r="A10" s="108" t="s">
        <v>52</v>
      </c>
      <c r="B10" s="96" t="s">
        <v>53</v>
      </c>
      <c r="C10" s="107"/>
      <c r="D10" s="106" t="s">
        <v>39</v>
      </c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6" t="s">
        <v>39</v>
      </c>
      <c r="P10" s="107"/>
      <c r="Q10" s="107"/>
    </row>
    <row r="11" ht="14.25" customHeight="1">
      <c r="A11" s="104" t="s">
        <v>54</v>
      </c>
      <c r="B11" s="105" t="s">
        <v>55</v>
      </c>
      <c r="C11" s="107"/>
      <c r="D11" s="106" t="s">
        <v>39</v>
      </c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6" t="s">
        <v>39</v>
      </c>
      <c r="P11" s="107"/>
      <c r="Q11" s="107"/>
    </row>
    <row r="12" ht="14.25" customHeight="1">
      <c r="A12" s="108" t="s">
        <v>56</v>
      </c>
      <c r="B12" s="96" t="s">
        <v>57</v>
      </c>
      <c r="C12" s="107"/>
      <c r="D12" s="106" t="s">
        <v>39</v>
      </c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6" t="s">
        <v>39</v>
      </c>
      <c r="P12" s="107"/>
      <c r="Q12" s="107"/>
    </row>
    <row r="13" ht="14.25" customHeight="1">
      <c r="A13" s="104" t="s">
        <v>58</v>
      </c>
      <c r="B13" s="105" t="s">
        <v>59</v>
      </c>
      <c r="C13" s="107"/>
      <c r="D13" s="107"/>
      <c r="E13" s="106" t="s">
        <v>39</v>
      </c>
      <c r="F13" s="107"/>
      <c r="G13" s="107"/>
      <c r="H13" s="107"/>
      <c r="I13" s="107"/>
      <c r="J13" s="106" t="s">
        <v>39</v>
      </c>
      <c r="K13" s="107"/>
      <c r="L13" s="107"/>
      <c r="M13" s="107"/>
      <c r="N13" s="106" t="s">
        <v>39</v>
      </c>
      <c r="O13" s="107"/>
      <c r="P13" s="107"/>
      <c r="Q13" s="106" t="s">
        <v>39</v>
      </c>
    </row>
    <row r="14" ht="14.25" customHeight="1">
      <c r="A14" s="108" t="s">
        <v>60</v>
      </c>
      <c r="B14" s="96" t="s">
        <v>61</v>
      </c>
      <c r="C14" s="107"/>
      <c r="D14" s="107"/>
      <c r="E14" s="106" t="s">
        <v>39</v>
      </c>
      <c r="F14" s="107"/>
      <c r="G14" s="107"/>
      <c r="H14" s="107"/>
      <c r="I14" s="107"/>
      <c r="J14" s="107"/>
      <c r="K14" s="107"/>
      <c r="L14" s="107"/>
      <c r="M14" s="107"/>
      <c r="N14" s="106" t="s">
        <v>39</v>
      </c>
      <c r="O14" s="107"/>
      <c r="P14" s="107"/>
      <c r="Q14" s="107"/>
    </row>
    <row r="15" ht="14.25" customHeight="1">
      <c r="A15" s="104" t="s">
        <v>62</v>
      </c>
      <c r="B15" s="105" t="s">
        <v>63</v>
      </c>
      <c r="C15" s="107"/>
      <c r="D15" s="107"/>
      <c r="E15" s="106" t="s">
        <v>39</v>
      </c>
      <c r="F15" s="107"/>
      <c r="G15" s="107"/>
      <c r="H15" s="107"/>
      <c r="I15" s="106" t="s">
        <v>39</v>
      </c>
      <c r="J15" s="107"/>
      <c r="K15" s="107"/>
      <c r="L15" s="107"/>
      <c r="M15" s="107"/>
      <c r="N15" s="106" t="s">
        <v>39</v>
      </c>
      <c r="O15" s="107"/>
      <c r="P15" s="107"/>
      <c r="Q15" s="107"/>
    </row>
    <row r="16" ht="14.25" customHeight="1">
      <c r="A16" s="110" t="s">
        <v>64</v>
      </c>
      <c r="B16" s="96" t="s">
        <v>65</v>
      </c>
      <c r="C16" s="107"/>
      <c r="D16" s="107"/>
      <c r="E16" s="106" t="s">
        <v>39</v>
      </c>
      <c r="F16" s="107"/>
      <c r="G16" s="107"/>
      <c r="H16" s="107"/>
      <c r="I16" s="107"/>
      <c r="J16" s="107"/>
      <c r="K16" s="107"/>
      <c r="L16" s="107"/>
      <c r="M16" s="107"/>
      <c r="N16" s="106" t="s">
        <v>39</v>
      </c>
      <c r="O16" s="107"/>
      <c r="P16" s="107"/>
      <c r="Q16" s="107"/>
    </row>
    <row r="17" ht="14.25" customHeight="1">
      <c r="A17" s="104" t="s">
        <v>66</v>
      </c>
      <c r="B17" s="105" t="s">
        <v>67</v>
      </c>
      <c r="C17" s="107"/>
      <c r="D17" s="107"/>
      <c r="E17" s="106" t="s">
        <v>39</v>
      </c>
      <c r="F17" s="107"/>
      <c r="G17" s="107"/>
      <c r="H17" s="107"/>
      <c r="I17" s="107"/>
      <c r="J17" s="107"/>
      <c r="K17" s="107"/>
      <c r="L17" s="107"/>
      <c r="M17" s="107"/>
      <c r="N17" s="106" t="s">
        <v>39</v>
      </c>
      <c r="O17" s="107"/>
      <c r="P17" s="107"/>
      <c r="Q17" s="107"/>
    </row>
    <row r="18" ht="14.25" customHeight="1">
      <c r="A18" s="108" t="s">
        <v>68</v>
      </c>
      <c r="B18" s="96" t="s">
        <v>69</v>
      </c>
      <c r="C18" s="107"/>
      <c r="D18" s="107"/>
      <c r="E18" s="107"/>
      <c r="F18" s="106" t="s">
        <v>39</v>
      </c>
      <c r="G18" s="107"/>
      <c r="H18" s="107"/>
      <c r="I18" s="107"/>
      <c r="J18" s="107"/>
      <c r="K18" s="107"/>
      <c r="L18" s="107"/>
      <c r="M18" s="106" t="s">
        <v>39</v>
      </c>
      <c r="N18" s="107"/>
      <c r="O18" s="107"/>
      <c r="P18" s="107"/>
      <c r="Q18" s="107"/>
    </row>
    <row r="19" ht="14.25" customHeight="1">
      <c r="A19" s="104" t="s">
        <v>70</v>
      </c>
      <c r="B19" s="105" t="s">
        <v>71</v>
      </c>
      <c r="C19" s="107"/>
      <c r="D19" s="107"/>
      <c r="E19" s="107"/>
      <c r="F19" s="106" t="s">
        <v>39</v>
      </c>
      <c r="G19" s="107"/>
      <c r="H19" s="107"/>
      <c r="I19" s="107"/>
      <c r="J19" s="107"/>
      <c r="K19" s="107"/>
      <c r="L19" s="107"/>
      <c r="M19" s="106" t="s">
        <v>39</v>
      </c>
      <c r="N19" s="107"/>
      <c r="O19" s="107"/>
      <c r="P19" s="107"/>
      <c r="Q19" s="107"/>
    </row>
    <row r="20" ht="14.25" customHeight="1">
      <c r="A20" s="108" t="s">
        <v>72</v>
      </c>
      <c r="B20" s="96" t="s">
        <v>73</v>
      </c>
      <c r="C20" s="107"/>
      <c r="D20" s="107"/>
      <c r="E20" s="107"/>
      <c r="F20" s="106" t="s">
        <v>39</v>
      </c>
      <c r="G20" s="107"/>
      <c r="H20" s="107"/>
      <c r="I20" s="107"/>
      <c r="J20" s="107"/>
      <c r="K20" s="107"/>
      <c r="L20" s="107"/>
      <c r="M20" s="106" t="s">
        <v>39</v>
      </c>
      <c r="N20" s="107"/>
      <c r="O20" s="107"/>
      <c r="P20" s="107"/>
      <c r="Q20" s="107"/>
    </row>
    <row r="21" ht="14.25" customHeight="1">
      <c r="A21" s="104" t="s">
        <v>74</v>
      </c>
      <c r="B21" s="105" t="s">
        <v>75</v>
      </c>
      <c r="C21" s="107"/>
      <c r="D21" s="107"/>
      <c r="E21" s="107"/>
      <c r="F21" s="106" t="s">
        <v>39</v>
      </c>
      <c r="G21" s="107"/>
      <c r="H21" s="107"/>
      <c r="I21" s="107"/>
      <c r="J21" s="107"/>
      <c r="K21" s="107"/>
      <c r="L21" s="107"/>
      <c r="M21" s="106" t="s">
        <v>39</v>
      </c>
      <c r="N21" s="107"/>
      <c r="O21" s="107"/>
      <c r="P21" s="107"/>
      <c r="Q21" s="107"/>
    </row>
    <row r="22" ht="14.25" customHeight="1">
      <c r="A22" s="108" t="s">
        <v>76</v>
      </c>
      <c r="B22" s="96" t="s">
        <v>77</v>
      </c>
      <c r="C22" s="107"/>
      <c r="D22" s="107"/>
      <c r="E22" s="107"/>
      <c r="F22" s="106" t="s">
        <v>39</v>
      </c>
      <c r="G22" s="107"/>
      <c r="H22" s="107"/>
      <c r="I22" s="107"/>
      <c r="J22" s="107"/>
      <c r="K22" s="107"/>
      <c r="L22" s="107"/>
      <c r="M22" s="106" t="s">
        <v>39</v>
      </c>
      <c r="N22" s="107"/>
      <c r="O22" s="107"/>
      <c r="P22" s="107"/>
      <c r="Q22" s="106" t="s">
        <v>39</v>
      </c>
    </row>
    <row r="23" ht="14.25" customHeight="1">
      <c r="A23" s="104" t="s">
        <v>78</v>
      </c>
      <c r="B23" s="105" t="s">
        <v>79</v>
      </c>
      <c r="C23" s="107"/>
      <c r="D23" s="107"/>
      <c r="E23" s="107"/>
      <c r="F23" s="107"/>
      <c r="G23" s="106" t="s">
        <v>39</v>
      </c>
      <c r="H23" s="107"/>
      <c r="I23" s="107"/>
      <c r="J23" s="107"/>
      <c r="K23" s="107"/>
      <c r="L23" s="106" t="s">
        <v>39</v>
      </c>
      <c r="M23" s="107"/>
      <c r="N23" s="107"/>
      <c r="O23" s="107"/>
      <c r="P23" s="107"/>
      <c r="Q23" s="107"/>
    </row>
    <row r="24" ht="14.25" customHeight="1">
      <c r="A24" s="108" t="s">
        <v>80</v>
      </c>
      <c r="B24" s="96" t="s">
        <v>81</v>
      </c>
      <c r="C24" s="107"/>
      <c r="D24" s="107"/>
      <c r="E24" s="107"/>
      <c r="F24" s="107"/>
      <c r="G24" s="106" t="s">
        <v>39</v>
      </c>
      <c r="H24" s="107"/>
      <c r="I24" s="107"/>
      <c r="J24" s="107"/>
      <c r="K24" s="107"/>
      <c r="L24" s="106" t="s">
        <v>39</v>
      </c>
      <c r="M24" s="107"/>
      <c r="N24" s="107"/>
      <c r="O24" s="107"/>
      <c r="P24" s="107"/>
      <c r="Q24" s="107"/>
    </row>
    <row r="25" ht="14.25" customHeight="1">
      <c r="A25" s="104" t="s">
        <v>82</v>
      </c>
      <c r="B25" s="105" t="s">
        <v>83</v>
      </c>
      <c r="C25" s="107"/>
      <c r="D25" s="107"/>
      <c r="E25" s="107"/>
      <c r="F25" s="107"/>
      <c r="G25" s="106" t="s">
        <v>39</v>
      </c>
      <c r="H25" s="107"/>
      <c r="I25" s="107"/>
      <c r="J25" s="107"/>
      <c r="K25" s="107"/>
      <c r="L25" s="106" t="s">
        <v>39</v>
      </c>
      <c r="M25" s="107"/>
      <c r="N25" s="107"/>
      <c r="O25" s="107"/>
      <c r="P25" s="107"/>
      <c r="Q25" s="107"/>
    </row>
    <row r="26" ht="14.25" customHeight="1">
      <c r="A26" s="108" t="s">
        <v>46</v>
      </c>
      <c r="B26" s="96" t="s">
        <v>38</v>
      </c>
      <c r="C26" s="107"/>
      <c r="D26" s="107"/>
      <c r="E26" s="107"/>
      <c r="F26" s="107"/>
      <c r="G26" s="106" t="s">
        <v>39</v>
      </c>
      <c r="H26" s="107"/>
      <c r="I26" s="107"/>
      <c r="J26" s="107"/>
      <c r="K26" s="107"/>
      <c r="L26" s="106" t="s">
        <v>39</v>
      </c>
      <c r="M26" s="107"/>
      <c r="N26" s="107"/>
      <c r="O26" s="107"/>
      <c r="P26" s="107"/>
      <c r="Q26" s="107"/>
    </row>
    <row r="27" ht="14.25" customHeight="1">
      <c r="A27" s="104" t="s">
        <v>84</v>
      </c>
      <c r="B27" s="105" t="s">
        <v>41</v>
      </c>
      <c r="C27" s="107"/>
      <c r="D27" s="107"/>
      <c r="E27" s="107"/>
      <c r="F27" s="107"/>
      <c r="G27" s="106" t="s">
        <v>39</v>
      </c>
      <c r="H27" s="107"/>
      <c r="I27" s="107"/>
      <c r="J27" s="107"/>
      <c r="K27" s="107"/>
      <c r="L27" s="106" t="s">
        <v>39</v>
      </c>
      <c r="M27" s="107"/>
      <c r="N27" s="107"/>
      <c r="O27" s="107"/>
      <c r="P27" s="107"/>
      <c r="Q27" s="107"/>
    </row>
    <row r="28" ht="14.25" customHeight="1">
      <c r="A28" s="108" t="s">
        <v>85</v>
      </c>
      <c r="B28" s="96" t="s">
        <v>43</v>
      </c>
      <c r="C28" s="107"/>
      <c r="D28" s="107"/>
      <c r="E28" s="107"/>
      <c r="F28" s="107"/>
      <c r="G28" s="107"/>
      <c r="H28" s="106" t="s">
        <v>39</v>
      </c>
      <c r="I28" s="107"/>
      <c r="J28" s="107"/>
      <c r="K28" s="106" t="s">
        <v>39</v>
      </c>
      <c r="L28" s="107"/>
      <c r="M28" s="107"/>
      <c r="N28" s="107"/>
      <c r="O28" s="107"/>
      <c r="P28" s="107"/>
      <c r="Q28" s="107"/>
    </row>
    <row r="29" ht="14.25" customHeight="1">
      <c r="A29" s="104" t="s">
        <v>86</v>
      </c>
      <c r="B29" s="105" t="s">
        <v>45</v>
      </c>
      <c r="C29" s="107"/>
      <c r="D29" s="107"/>
      <c r="E29" s="107"/>
      <c r="F29" s="107"/>
      <c r="G29" s="107"/>
      <c r="H29" s="106" t="s">
        <v>39</v>
      </c>
      <c r="I29" s="107"/>
      <c r="J29" s="107"/>
      <c r="K29" s="106" t="s">
        <v>39</v>
      </c>
      <c r="L29" s="107"/>
      <c r="M29" s="107"/>
      <c r="N29" s="107"/>
      <c r="O29" s="107"/>
      <c r="P29" s="107"/>
      <c r="Q29" s="106" t="s">
        <v>39</v>
      </c>
    </row>
    <row r="30" ht="14.25" customHeight="1">
      <c r="A30" s="108" t="s">
        <v>87</v>
      </c>
      <c r="B30" s="96" t="s">
        <v>47</v>
      </c>
      <c r="C30" s="107"/>
      <c r="D30" s="107"/>
      <c r="E30" s="107"/>
      <c r="F30" s="107"/>
      <c r="G30" s="107"/>
      <c r="H30" s="106" t="s">
        <v>39</v>
      </c>
      <c r="I30" s="107"/>
      <c r="J30" s="107"/>
      <c r="K30" s="106" t="s">
        <v>39</v>
      </c>
      <c r="L30" s="107"/>
      <c r="M30" s="107"/>
      <c r="N30" s="107"/>
      <c r="O30" s="107"/>
      <c r="P30" s="107"/>
      <c r="Q30" s="107"/>
    </row>
    <row r="31" ht="14.25" customHeight="1">
      <c r="A31" s="104" t="s">
        <v>88</v>
      </c>
      <c r="B31" s="105" t="s">
        <v>49</v>
      </c>
      <c r="C31" s="107"/>
      <c r="D31" s="107"/>
      <c r="E31" s="107"/>
      <c r="F31" s="107"/>
      <c r="G31" s="107"/>
      <c r="H31" s="106" t="s">
        <v>39</v>
      </c>
      <c r="I31" s="107"/>
      <c r="J31" s="107"/>
      <c r="K31" s="106" t="s">
        <v>39</v>
      </c>
      <c r="L31" s="107"/>
      <c r="M31" s="107"/>
      <c r="N31" s="107"/>
      <c r="O31" s="107"/>
      <c r="P31" s="107"/>
      <c r="Q31" s="107"/>
    </row>
    <row r="32" ht="14.25" customHeight="1">
      <c r="A32" s="108" t="s">
        <v>89</v>
      </c>
      <c r="B32" s="96" t="s">
        <v>51</v>
      </c>
      <c r="C32" s="107"/>
      <c r="D32" s="107"/>
      <c r="E32" s="107"/>
      <c r="F32" s="107"/>
      <c r="G32" s="107"/>
      <c r="H32" s="106" t="s">
        <v>39</v>
      </c>
      <c r="I32" s="107"/>
      <c r="J32" s="106"/>
      <c r="K32" s="106" t="s">
        <v>39</v>
      </c>
      <c r="L32" s="107"/>
      <c r="M32" s="107"/>
      <c r="N32" s="107"/>
      <c r="O32" s="107"/>
      <c r="P32" s="107"/>
      <c r="Q32" s="107"/>
    </row>
    <row r="33" ht="14.25" customHeight="1">
      <c r="A33" s="104" t="s">
        <v>90</v>
      </c>
      <c r="B33" s="105" t="s">
        <v>53</v>
      </c>
      <c r="C33" s="107"/>
      <c r="D33" s="107"/>
      <c r="E33" s="107"/>
      <c r="F33" s="107"/>
      <c r="G33" s="107"/>
      <c r="H33" s="107"/>
      <c r="I33" s="106" t="s">
        <v>39</v>
      </c>
      <c r="J33" s="106" t="s">
        <v>39</v>
      </c>
      <c r="K33" s="107"/>
      <c r="L33" s="107"/>
      <c r="M33" s="107"/>
      <c r="N33" s="107"/>
      <c r="O33" s="107"/>
      <c r="P33" s="107"/>
      <c r="Q33" s="107"/>
    </row>
    <row r="34" ht="14.25" customHeight="1">
      <c r="A34" s="108" t="s">
        <v>91</v>
      </c>
      <c r="B34" s="96" t="s">
        <v>55</v>
      </c>
      <c r="C34" s="107"/>
      <c r="D34" s="107"/>
      <c r="E34" s="107"/>
      <c r="F34" s="107"/>
      <c r="G34" s="107"/>
      <c r="H34" s="107"/>
      <c r="I34" s="106" t="s">
        <v>39</v>
      </c>
      <c r="J34" s="106" t="s">
        <v>39</v>
      </c>
      <c r="K34" s="107"/>
      <c r="L34" s="107"/>
      <c r="M34" s="107"/>
      <c r="N34" s="107"/>
      <c r="O34" s="107"/>
      <c r="P34" s="107"/>
      <c r="Q34" s="107"/>
    </row>
    <row r="35" ht="14.25" customHeight="1">
      <c r="A35" s="104" t="s">
        <v>92</v>
      </c>
      <c r="B35" s="105" t="s">
        <v>57</v>
      </c>
      <c r="C35" s="107"/>
      <c r="D35" s="107"/>
      <c r="E35" s="107"/>
      <c r="F35" s="107"/>
      <c r="G35" s="107"/>
      <c r="H35" s="107"/>
      <c r="I35" s="106" t="s">
        <v>39</v>
      </c>
      <c r="J35" s="106" t="s">
        <v>39</v>
      </c>
      <c r="K35" s="107"/>
      <c r="L35" s="107"/>
      <c r="M35" s="107"/>
      <c r="N35" s="107"/>
      <c r="O35" s="107"/>
      <c r="P35" s="107"/>
      <c r="Q35" s="107"/>
    </row>
    <row r="36" ht="14.25" customHeight="1">
      <c r="A36" s="108" t="s">
        <v>93</v>
      </c>
      <c r="B36" s="96" t="s">
        <v>59</v>
      </c>
      <c r="C36" s="107"/>
      <c r="D36" s="107"/>
      <c r="E36" s="107"/>
      <c r="F36" s="107"/>
      <c r="G36" s="107"/>
      <c r="H36" s="107"/>
      <c r="I36" s="106" t="s">
        <v>39</v>
      </c>
      <c r="J36" s="106" t="s">
        <v>39</v>
      </c>
      <c r="K36" s="107"/>
      <c r="L36" s="107"/>
      <c r="M36" s="107"/>
      <c r="N36" s="107"/>
      <c r="O36" s="107"/>
      <c r="P36" s="107"/>
      <c r="Q36" s="106" t="s">
        <v>39</v>
      </c>
    </row>
    <row r="37" ht="14.25" customHeight="1">
      <c r="B37" s="96"/>
    </row>
    <row r="38" ht="14.25" customHeight="1">
      <c r="B38" s="96"/>
    </row>
    <row r="39" ht="14.25" customHeight="1">
      <c r="B39" s="96"/>
    </row>
    <row r="40" ht="14.25" customHeight="1">
      <c r="B40" s="96"/>
    </row>
    <row r="41" ht="14.25" customHeight="1">
      <c r="B41" s="96"/>
    </row>
    <row r="42" ht="14.25" customHeight="1">
      <c r="B42" s="96"/>
    </row>
    <row r="43" ht="14.25" customHeight="1">
      <c r="B43" s="96"/>
    </row>
    <row r="44" ht="14.25" customHeight="1">
      <c r="B44" s="96"/>
    </row>
    <row r="45" ht="14.25" customHeight="1">
      <c r="B45" s="96"/>
    </row>
    <row r="46" ht="14.25" customHeight="1">
      <c r="B46" s="96"/>
    </row>
    <row r="47" ht="14.25" customHeight="1">
      <c r="B47" s="96"/>
    </row>
    <row r="48" ht="14.25" customHeight="1">
      <c r="B48" s="96"/>
    </row>
    <row r="49" ht="14.25" customHeight="1">
      <c r="B49" s="96"/>
    </row>
    <row r="50" ht="14.25" customHeight="1">
      <c r="B50" s="96"/>
    </row>
    <row r="51" ht="14.25" customHeight="1">
      <c r="B51" s="96"/>
    </row>
    <row r="52" ht="14.25" customHeight="1">
      <c r="B52" s="96"/>
    </row>
    <row r="53" ht="14.25" customHeight="1">
      <c r="B53" s="96"/>
    </row>
    <row r="54" ht="14.25" customHeight="1">
      <c r="B54" s="96"/>
    </row>
    <row r="55" ht="14.25" customHeight="1">
      <c r="B55" s="96"/>
    </row>
    <row r="56" ht="14.25" customHeight="1">
      <c r="B56" s="96"/>
    </row>
    <row r="57" ht="14.25" customHeight="1">
      <c r="B57" s="96"/>
    </row>
    <row r="58" ht="14.25" customHeight="1">
      <c r="B58" s="96"/>
    </row>
    <row r="59" ht="14.25" customHeight="1">
      <c r="B59" s="96"/>
    </row>
    <row r="60" ht="14.25" customHeight="1">
      <c r="B60" s="96"/>
    </row>
    <row r="61" ht="14.25" customHeight="1">
      <c r="B61" s="96"/>
    </row>
    <row r="62" ht="14.25" customHeight="1">
      <c r="B62" s="96"/>
    </row>
    <row r="63" ht="14.25" customHeight="1">
      <c r="B63" s="96"/>
    </row>
    <row r="64" ht="14.25" customHeight="1">
      <c r="B64" s="96"/>
    </row>
    <row r="65" ht="14.25" customHeight="1">
      <c r="B65" s="96"/>
    </row>
    <row r="66" ht="14.25" customHeight="1">
      <c r="B66" s="96"/>
    </row>
    <row r="67" ht="14.25" customHeight="1">
      <c r="B67" s="96"/>
    </row>
    <row r="68" ht="14.25" customHeight="1">
      <c r="B68" s="96"/>
    </row>
    <row r="69" ht="14.25" customHeight="1">
      <c r="B69" s="96"/>
    </row>
    <row r="70" ht="14.25" customHeight="1">
      <c r="B70" s="96"/>
    </row>
    <row r="71" ht="14.25" customHeight="1">
      <c r="B71" s="96"/>
    </row>
    <row r="72" ht="14.25" customHeight="1">
      <c r="B72" s="96"/>
    </row>
    <row r="73" ht="14.25" customHeight="1">
      <c r="B73" s="96"/>
    </row>
    <row r="74" ht="14.25" customHeight="1">
      <c r="B74" s="96"/>
    </row>
    <row r="75" ht="14.25" customHeight="1">
      <c r="B75" s="96"/>
    </row>
    <row r="76" ht="14.25" customHeight="1">
      <c r="B76" s="96"/>
    </row>
    <row r="77" ht="14.25" customHeight="1">
      <c r="B77" s="96"/>
    </row>
    <row r="78" ht="14.25" customHeight="1">
      <c r="B78" s="96"/>
    </row>
    <row r="79" ht="14.25" customHeight="1">
      <c r="B79" s="96"/>
    </row>
    <row r="80" ht="14.25" customHeight="1">
      <c r="B80" s="96"/>
    </row>
    <row r="81" ht="14.25" customHeight="1">
      <c r="B81" s="96"/>
    </row>
    <row r="82" ht="14.25" customHeight="1">
      <c r="B82" s="96"/>
    </row>
    <row r="83" ht="14.25" customHeight="1">
      <c r="B83" s="96"/>
    </row>
    <row r="84" ht="14.25" customHeight="1">
      <c r="B84" s="96"/>
    </row>
    <row r="85" ht="14.25" customHeight="1">
      <c r="B85" s="96"/>
    </row>
    <row r="86" ht="14.25" customHeight="1">
      <c r="B86" s="96"/>
    </row>
    <row r="87" ht="14.25" customHeight="1">
      <c r="B87" s="96"/>
    </row>
    <row r="88" ht="14.25" customHeight="1">
      <c r="B88" s="96"/>
    </row>
    <row r="89" ht="14.25" customHeight="1">
      <c r="B89" s="96"/>
    </row>
    <row r="90" ht="14.25" customHeight="1">
      <c r="B90" s="96"/>
    </row>
    <row r="91" ht="14.25" customHeight="1">
      <c r="B91" s="96"/>
    </row>
    <row r="92" ht="14.25" customHeight="1">
      <c r="B92" s="96"/>
    </row>
    <row r="93" ht="14.25" customHeight="1">
      <c r="B93" s="96"/>
    </row>
    <row r="94" ht="14.25" customHeight="1">
      <c r="B94" s="96"/>
    </row>
    <row r="95" ht="14.25" customHeight="1">
      <c r="B95" s="96"/>
    </row>
    <row r="96" ht="14.25" customHeight="1">
      <c r="B96" s="96"/>
    </row>
    <row r="97" ht="14.25" customHeight="1">
      <c r="B97" s="96"/>
    </row>
    <row r="98" ht="14.25" customHeight="1">
      <c r="B98" s="96"/>
    </row>
    <row r="99" ht="14.25" customHeight="1">
      <c r="B99" s="96"/>
    </row>
    <row r="100" ht="14.25" customHeight="1">
      <c r="B100" s="96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A2"/>
    <mergeCell ref="C1:Q1"/>
  </mergeCells>
  <printOptions/>
  <pageMargins bottom="0.787401575" footer="0.0" header="0.0" left="0.511811024" right="0.511811024" top="0.7874015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2019-01-23T21:03:15Z</dcterms:created>
  <dc:creator>Thiberio Cezar Moraes Da Silva</dc:creator>
</cp:coreProperties>
</file>